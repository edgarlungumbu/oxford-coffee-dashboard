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b0d3b90bc2f81680/Documents/Portfolio/Oxford-Coffee-Dashboard/"/>
    </mc:Choice>
  </mc:AlternateContent>
  <xr:revisionPtr revIDLastSave="0" documentId="8_{1AFD8BF4-9024-4513-924A-837E12588771}" xr6:coauthVersionLast="47" xr6:coauthVersionMax="47" xr10:uidLastSave="{00000000-0000-0000-0000-000000000000}"/>
  <bookViews>
    <workbookView minimized="1" xWindow="3310" yWindow="2480" windowWidth="19200" windowHeight="11170" activeTab="2" xr2:uid="{0B505637-56BC-4F3E-BA14-E74F0A8873C8}"/>
  </bookViews>
  <sheets>
    <sheet name="Sales_Data" sheetId="1" r:id="rId1"/>
    <sheet name="Pivot_Tables" sheetId="2" r:id="rId2"/>
    <sheet name="Dashboard" sheetId="3" r:id="rId3"/>
  </sheets>
  <definedNames>
    <definedName name="Slicer_Category1">#N/A</definedName>
    <definedName name="Slicer_Month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5" i="3" l="1"/>
  <c r="E5" i="3"/>
  <c r="M6" i="3"/>
  <c r="Q6" i="3" a="1"/>
  <c r="U5" i="3" a="1"/>
  <c r="Q5" i="3" a="1"/>
  <c r="M5" i="3" a="1"/>
  <c r="A5" i="3"/>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 i="1"/>
  <c r="U6" i="3"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<sst xmlns="http://schemas.openxmlformats.org/spreadsheetml/2006/main" count="1153" uniqueCount="56">
  <si>
    <t>Date</t>
  </si>
  <si>
    <t>Product</t>
  </si>
  <si>
    <t>Category</t>
  </si>
  <si>
    <t>Quantity</t>
  </si>
  <si>
    <t>Unit Price</t>
  </si>
  <si>
    <t>Revenue</t>
  </si>
  <si>
    <t>Cappuccino</t>
  </si>
  <si>
    <t>Americano</t>
  </si>
  <si>
    <t>Flat White</t>
  </si>
  <si>
    <t>Croissant</t>
  </si>
  <si>
    <t>Muffin</t>
  </si>
  <si>
    <t>Sandwich</t>
  </si>
  <si>
    <t>Cookie</t>
  </si>
  <si>
    <t>Iced Latte</t>
  </si>
  <si>
    <t>Smoothie</t>
  </si>
  <si>
    <t>Latte</t>
  </si>
  <si>
    <t>Beverage</t>
  </si>
  <si>
    <t>Bakery</t>
  </si>
  <si>
    <t>Food</t>
  </si>
  <si>
    <t>Day_of_Week</t>
  </si>
  <si>
    <t>Month</t>
  </si>
  <si>
    <t>Row Labels</t>
  </si>
  <si>
    <t>January</t>
  </si>
  <si>
    <t>February</t>
  </si>
  <si>
    <t>March</t>
  </si>
  <si>
    <t>April</t>
  </si>
  <si>
    <t>May</t>
  </si>
  <si>
    <t>June</t>
  </si>
  <si>
    <t>Grand Total</t>
  </si>
  <si>
    <t>Sum of Revenue</t>
  </si>
  <si>
    <t>Monday</t>
  </si>
  <si>
    <t>Tuesday</t>
  </si>
  <si>
    <t>Wednesday</t>
  </si>
  <si>
    <t>Thursday</t>
  </si>
  <si>
    <t>Friday</t>
  </si>
  <si>
    <t>Saturday</t>
  </si>
  <si>
    <t>Sunday</t>
  </si>
  <si>
    <t>Total Revenue</t>
  </si>
  <si>
    <t>Best Selling Product</t>
  </si>
  <si>
    <t>Best Month</t>
  </si>
  <si>
    <t>Oxford Coffee Co. Performance Dashboard 2026</t>
  </si>
  <si>
    <t>Oxford Coffee Co. Executive Insights</t>
  </si>
  <si>
    <t>Top Category Share</t>
  </si>
  <si>
    <t>◆ Sandwiches were the top-performing product (£1,112)</t>
  </si>
  <si>
    <r>
      <rPr>
        <b/>
        <sz val="11"/>
        <color theme="1"/>
        <rFont val="Aptos Narrow"/>
        <family val="2"/>
        <scheme val="minor"/>
      </rPr>
      <t xml:space="preserve">◆  </t>
    </r>
    <r>
      <rPr>
        <sz val="11"/>
        <color theme="1"/>
        <rFont val="Aptos Narrow"/>
        <family val="2"/>
        <scheme val="minor"/>
      </rPr>
      <t>May generated the highest monthly revenue (£1,343) while February generated the least (£1170)</t>
    </r>
  </si>
  <si>
    <r>
      <t xml:space="preserve">◆ </t>
    </r>
    <r>
      <rPr>
        <sz val="11"/>
        <color theme="1"/>
        <rFont val="Aptos Narrow"/>
        <family val="2"/>
        <scheme val="minor"/>
      </rPr>
      <t>Revenue remained strongest from Thursday through Sunday</t>
    </r>
  </si>
  <si>
    <t>Oxford Coffee Co. -  Sales Transactions</t>
  </si>
  <si>
    <t>Revenue by Month</t>
  </si>
  <si>
    <t>Revenue by Category</t>
  </si>
  <si>
    <t>Top Products</t>
  </si>
  <si>
    <t>Revenue by Day of the Week</t>
  </si>
  <si>
    <t>Sum of Quantity</t>
  </si>
  <si>
    <t>Units Sold</t>
  </si>
  <si>
    <t>Average Revenue Per Unit</t>
  </si>
  <si>
    <t>Daily Units Sold</t>
  </si>
  <si>
    <r>
      <rPr>
        <b/>
        <sz val="11"/>
        <color theme="1"/>
        <rFont val="Aptos Narrow"/>
        <family val="2"/>
        <scheme val="minor"/>
      </rPr>
      <t xml:space="preserve">◆ </t>
    </r>
    <r>
      <rPr>
        <sz val="11"/>
        <color theme="1"/>
        <rFont val="Aptos Narrow"/>
        <family val="2"/>
        <scheme val="minor"/>
      </rPr>
      <t>Beverages account for 57% of revenue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</si>
</sst>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8" x14ac:knownFonts="1">
    <font>
      <sz val="11"/>
      <color theme="1"/>
      <name val="Aptos Narrow"/>
      <family val="2"/>
      <scheme val="minor"/>
    </font>
    <font>
      <b/>
      <sz val="22"/>
      <color rgb="FF002060"/>
      <name val="Aptos Narrow"/>
      <family val="2"/>
      <scheme val="minor"/>
    </font>
    <font>
      <b/>
      <sz val="11"/>
      <color theme="0"/>
      <name val="Aptos Narrow"/>
      <family val="2"/>
      <scheme val="minor"/>
    </font>
    <font>
      <b/>
      <sz val="11"/>
      <color theme="1"/>
      <name val="Aptos Narrow"/>
      <family val="2"/>
      <scheme val="minor"/>
    </font>
    <font>
      <sz val="20"/>
      <color theme="0"/>
      <name val="Aptos Narrow"/>
      <family val="2"/>
      <scheme val="minor"/>
    </font>
    <font>
      <sz val="20"/>
      <color rgb="FFF4F6F9"/>
      <name val="Aptos Narrow"/>
      <family val="2"/>
      <scheme val="minor"/>
    </font>
    <font>
      <b/>
      <sz val="12"/>
      <color theme="1"/>
      <name val="Aptos Narrow"/>
      <family val="2"/>
      <scheme val="minor"/>
    </font>
    <font>
      <b/>
      <sz val="12"/>
      <color rgb="FF10253F"/>
      <name val="Aptos Narrow"/>
      <family val="2"/>
      <scheme val="minor"/>
    </font>
  </fonts>
  <fills count="6">
    <fill>
      <patternFill patternType="none"/>
    </fill>
    <fill>
      <patternFill patternType="gray125"/>
    </fill>
    <fill>
      <patternFill patternType="solid">
        <fgColor rgb="FFF2F2F2"/>
        <bgColor indexed="64"/>
      </patternFill>
    </fill>
    <fill>
      <patternFill patternType="solid">
        <fgColor rgb="FFF4F6F9"/>
        <bgColor indexed="64"/>
      </patternFill>
    </fill>
    <fill>
      <patternFill patternType="solid">
        <fgColor rgb="FF10253F"/>
        <bgColor indexed="64"/>
      </patternFill>
    </fill>
    <fill>
      <patternFill patternType="solid">
        <fgColor theme="0"/>
        <bgColor indexed="64"/>
      </patternFill>
    </fill>
  </fills>
  <borders count="6">
    <border>
      <left/>
      <right/>
      <top/>
      <bottom/>
      <diagonal/>
    </border>
    <border>
      <left style="thin">
        <color rgb="FFD9E1F2"/>
      </left>
      <right/>
      <top/>
      <bottom/>
      <diagonal/>
    </border>
    <border>
      <left/>
      <right style="thin">
        <color rgb="FFD9E1F2"/>
      </right>
      <top/>
      <bottom/>
      <diagonal/>
    </border>
    <border>
      <left/>
      <right/>
      <top style="thin">
        <color rgb="FFD9E1F2"/>
      </top>
      <bottom/>
      <diagonal/>
    </border>
    <border>
      <left style="thin">
        <color rgb="FFD9E1F2"/>
      </left>
      <right/>
      <top style="thin">
        <color rgb="FFD9E1F2"/>
      </top>
      <bottom/>
      <diagonal/>
    </border>
    <border>
      <left/>
      <right style="thin">
        <color rgb="FFD9E1F2"/>
      </right>
      <top style="thin">
        <color rgb="FFD9E1F2"/>
      </top>
      <bottom/>
      <diagonal/>
    </border>
  </borders>
  <cellStyleXfs count="1">
    <xf numFmtId="0" fontId="0" fillId="0" borderId="0"/>
  </cellStyleXfs>
  <cellXfs count="3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1" fillId="3" borderId="0" xfId="0" applyFont="1" applyFill="1" applyAlignment="1">
      <alignment horizontal="center"/>
    </xf>
    <xf numFmtId="0" fontId="0" fillId="3" borderId="0" xfId="0" applyFill="1"/>
    <xf numFmtId="0" fontId="0" fillId="4" borderId="0" xfId="0" applyFill="1"/>
    <xf numFmtId="0" fontId="1" fillId="3" borderId="0" xfId="0" applyFont="1" applyFill="1"/>
    <xf numFmtId="165" fontId="4" fillId="4" borderId="0" xfId="0" applyNumberFormat="1" applyFont="1" applyFill="1" applyAlignment="1">
      <alignment horizontal="center"/>
    </xf>
    <xf numFmtId="0" fontId="4" fillId="4" borderId="0" xfId="0" applyFont="1" applyFill="1"/>
    <xf numFmtId="0" fontId="2" fillId="4" borderId="0" xfId="0" applyFont="1" applyFill="1"/>
    <xf numFmtId="0" fontId="0" fillId="5" borderId="0" xfId="0" applyFill="1"/>
    <xf numFmtId="0" fontId="0" fillId="5" borderId="1" xfId="0" applyFill="1" applyBorder="1"/>
    <xf numFmtId="0" fontId="0" fillId="3" borderId="2" xfId="0" applyFill="1" applyBorder="1"/>
    <xf numFmtId="0" fontId="0" fillId="3" borderId="3" xfId="0" applyFill="1" applyBorder="1"/>
    <xf numFmtId="0" fontId="0" fillId="3" borderId="1" xfId="0" applyFill="1" applyBorder="1"/>
    <xf numFmtId="0" fontId="0" fillId="5" borderId="2" xfId="0" applyFill="1" applyBorder="1"/>
    <xf numFmtId="14" fontId="0" fillId="4" borderId="0" xfId="0" applyNumberFormat="1" applyFill="1" applyAlignment="1">
      <alignment horizontal="center"/>
    </xf>
    <xf numFmtId="164" fontId="0" fillId="4" borderId="0" xfId="0" applyNumberFormat="1" applyFill="1" applyAlignment="1">
      <alignment horizontal="center"/>
    </xf>
    <xf numFmtId="14" fontId="0" fillId="0" borderId="0" xfId="0" applyNumberFormat="1" applyAlignment="1">
      <alignment horizontal="left"/>
    </xf>
    <xf numFmtId="0" fontId="1" fillId="3" borderId="0" xfId="0" applyFont="1" applyFill="1" applyAlignment="1">
      <alignment horizontal="center"/>
    </xf>
    <xf numFmtId="0" fontId="4" fillId="4" borderId="0" xfId="0" applyFont="1" applyFill="1" applyAlignment="1">
      <alignment horizontal="center"/>
    </xf>
    <xf numFmtId="0" fontId="2" fillId="4" borderId="0" xfId="0" applyFont="1" applyFill="1" applyAlignment="1">
      <alignment horizontal="center"/>
    </xf>
    <xf numFmtId="165" fontId="4" fillId="4" borderId="0" xfId="0" applyNumberFormat="1" applyFont="1" applyFill="1" applyAlignment="1">
      <alignment horizontal="center"/>
    </xf>
    <xf numFmtId="164" fontId="4" fillId="4" borderId="0" xfId="0" applyNumberFormat="1" applyFont="1" applyFill="1" applyAlignment="1">
      <alignment horizontal="center"/>
    </xf>
    <xf numFmtId="0" fontId="0" fillId="5" borderId="1" xfId="0" applyFill="1" applyBorder="1" applyAlignment="1">
      <alignment vertical="top" wrapText="1"/>
    </xf>
    <xf numFmtId="0" fontId="0" fillId="5" borderId="0" xfId="0" applyFill="1" applyAlignment="1">
      <alignment vertical="top" wrapText="1"/>
    </xf>
    <xf numFmtId="0" fontId="3" fillId="5" borderId="0" xfId="0" applyFont="1" applyFill="1" applyAlignment="1">
      <alignment vertical="top" wrapText="1"/>
    </xf>
    <xf numFmtId="0" fontId="0" fillId="5" borderId="2" xfId="0" applyFill="1" applyBorder="1" applyAlignment="1">
      <alignment vertical="top" wrapText="1"/>
    </xf>
    <xf numFmtId="165" fontId="5" fillId="4" borderId="0" xfId="0" applyNumberFormat="1" applyFont="1" applyFill="1" applyAlignment="1">
      <alignment horizontal="center"/>
    </xf>
    <xf numFmtId="9" fontId="4" fillId="4" borderId="0" xfId="0" applyNumberFormat="1" applyFont="1" applyFill="1" applyAlignment="1">
      <alignment horizontal="center"/>
    </xf>
    <xf numFmtId="0" fontId="7" fillId="5" borderId="4" xfId="0" applyFont="1" applyFill="1" applyBorder="1" applyAlignment="1">
      <alignment horizontal="center"/>
    </xf>
    <xf numFmtId="0" fontId="6" fillId="5" borderId="3" xfId="0" applyFont="1" applyFill="1" applyBorder="1" applyAlignment="1">
      <alignment horizontal="center"/>
    </xf>
    <xf numFmtId="0" fontId="6" fillId="5" borderId="5" xfId="0" applyFont="1" applyFill="1" applyBorder="1" applyAlignment="1">
      <alignment horizontal="center"/>
    </xf>
    <xf numFmtId="0" fontId="3" fillId="0" borderId="0" xfId="0" applyFont="1" applyAlignment="1">
      <alignment horizontal="center"/>
    </xf>
    <xf numFmtId="0" fontId="0" fillId="0" borderId="0" xfId="0" applyAlignment="1">
      <alignment horizontal="center"/>
    </xf>
    <xf numFmtId="0" fontId="3" fillId="0" borderId="0" xfId="0" applyFont="1" applyAlignment="1">
      <alignment horizontal="center" vertical="center"/>
    </xf>
  </cellXfs>
  <cellStyles count="1">
    <cellStyle name="Normal" xfId="0" builtinId="0"/>
  </cellStyles>
  <dxfs count="4">
    <dxf>
      <numFmt numFmtId="164" formatCode="&quot;£&quot;#,##0.00"/>
    </dxf>
    <dxf>
      <numFmt numFmtId="164" formatCode="&quot;£&quot;#,##0.00"/>
    </dxf>
    <dxf>
      <numFmt numFmtId="19" formatCode="dd/mm/yyyy"/>
    </dxf>
    <dxf>
      <numFmt numFmtId="19" formatCode="dd/mm/yyyy"/>
      <fill>
        <patternFill patternType="solid">
          <fgColor indexed="64"/>
          <bgColor rgb="FF10253F"/>
        </patternFill>
      </fill>
      <alignment horizontal="center" vertical="bottom" textRotation="0" wrapText="0" indent="0" justifyLastLine="0" shrinkToFit="0" readingOrder="0"/>
    </dxf>
  </dxfs>
  <tableStyles count="0" defaultTableStyle="TableStyleMedium2" defaultPivotStyle="PivotStyleLight16"/>
  <colors>
    <mruColors>
      <color rgb="FF1B365D"/>
      <color rgb="FF10253F"/>
      <color rgb="FFC5A059"/>
      <color rgb="FFD9E1F2"/>
      <color rgb="FFF4F6F9"/>
      <color rgb="FF1F3864"/>
      <color rgb="FF2E75B6"/>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[Coffee_Shop_Dashboard_Final.xlsx]Pivot_Tables!PivotTable9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5A059"/>
            </a:solidFill>
            <a:round/>
          </a:ln>
          <a:effectLst/>
        </c:spPr>
        <c:marker>
          <c:symbol val="circle"/>
          <c:size val="5"/>
          <c:spPr>
            <a:solidFill>
              <a:srgbClr val="1B365D"/>
            </a:solidFill>
            <a:ln w="9525">
              <a:solidFill>
                <a:srgbClr val="C5A05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w="28575" cap="rnd">
            <a:solidFill>
              <a:srgbClr val="C5A059"/>
            </a:solidFill>
            <a:round/>
          </a:ln>
          <a:effectLst/>
        </c:spPr>
        <c:marker>
          <c:spPr>
            <a:solidFill>
              <a:srgbClr val="10253F"/>
            </a:solidFill>
            <a:ln w="9525">
              <a:solidFill>
                <a:srgbClr val="C5A05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5A059"/>
            </a:solidFill>
            <a:round/>
          </a:ln>
          <a:effectLst/>
        </c:spPr>
        <c:marker>
          <c:symbol val="circle"/>
          <c:size val="5"/>
          <c:spPr>
            <a:solidFill>
              <a:srgbClr val="1B365D"/>
            </a:solidFill>
            <a:ln w="9525">
              <a:solidFill>
                <a:srgbClr val="C5A05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18597245615486"/>
          <c:y val="0.12383047799772558"/>
          <c:w val="0.87935871795347331"/>
          <c:h val="0.79121722260979499"/>
        </c:manualLayout>
      </c:layout>
      <c:lineChart>
        <c:grouping val="standard"/>
        <c:varyColors val="0"/>
        <c:ser>
          <c:idx val="0"/>
          <c:order val="0"/>
          <c:tx>
            <c:strRef>
              <c:f>Pivot_Tables!$B$3</c:f>
              <c:strCache>
                <c:ptCount val="1"/>
                <c:pt idx="0">
                  <c:v>Total</c:v>
                </c:pt>
              </c:strCache>
            </c:strRef>
          </c:tx>
          <c:spPr>
            <a:ln w="28575" cap="rnd">
              <a:solidFill>
                <a:srgbClr val="C5A059"/>
              </a:solidFill>
              <a:round/>
            </a:ln>
            <a:effectLst/>
          </c:spPr>
          <c:marker>
            <c:symbol val="circle"/>
            <c:size val="5"/>
            <c:spPr>
              <a:solidFill>
                <a:srgbClr val="1B365D"/>
              </a:solidFill>
              <a:ln w="9525">
                <a:solidFill>
                  <a:srgbClr val="C5A059"/>
                </a:solidFill>
              </a:ln>
              <a:effectLst/>
            </c:spPr>
          </c:marker>
          <c:cat>
            <c:strRef>
              <c:f>Pivot_Tables!$A$4:$A$10</c:f>
              <c:strCache>
                <c:ptCount val="6"/>
                <c:pt idx="0">
                  <c:v>January</c:v>
                </c:pt>
                <c:pt idx="1">
                  <c:v>February</c:v>
                </c:pt>
                <c:pt idx="2">
                  <c:v>March</c:v>
                </c:pt>
                <c:pt idx="3">
                  <c:v>April</c:v>
                </c:pt>
                <c:pt idx="4">
                  <c:v>May</c:v>
                </c:pt>
                <c:pt idx="5">
                  <c:v>June</c:v>
                </c:pt>
              </c:strCache>
            </c:strRef>
          </c:cat>
          <c:val>
            <c:numRef>
              <c:f>Pivot_Tables!$B$4:$B$10</c:f>
              <c:numCache>
                <c:formatCode>"£"#,##0.00</c:formatCode>
                <c:ptCount val="6"/>
                <c:pt idx="0">
                  <c:v>1260.5</c:v>
                </c:pt>
                <c:pt idx="1">
                  <c:v>1170</c:v>
                </c:pt>
                <c:pt idx="2">
                  <c:v>1310.5</c:v>
                </c:pt>
                <c:pt idx="3">
                  <c:v>1282</c:v>
                </c:pt>
                <c:pt idx="4">
                  <c:v>1342.75</c:v>
                </c:pt>
                <c:pt idx="5">
                  <c:v>1279.25</c:v>
                </c:pt>
              </c:numCache>
            </c:numRef>
          </c:val>
          <c:smooth val="0"/>
          <c:extLst>
            <c:ext xmlns:c16="http://schemas.microsoft.com/office/drawing/2014/chart" uri="{C3380CC4-5D6E-409C-BE32-E72D297353CC}">
              <c16:uniqueId val="{00000000-0498-4857-BAC3-1BDBA6060E7D}"/>
            </c:ext>
          </c:extLst>
        </c:ser>
        <c:dLbls>
          <c:showLegendKey val="0"/>
          <c:showVal val="0"/>
          <c:showCatName val="0"/>
          <c:showSerName val="0"/>
          <c:showPercent val="0"/>
          <c:showBubbleSize val="0"/>
        </c:dLbls>
        <c:marker val="1"/>
        <c:smooth val="0"/>
        <c:axId val="780117615"/>
        <c:axId val="927726383"/>
      </c:lineChart>
      <c:catAx>
        <c:axId val="78011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26383"/>
        <c:crosses val="autoZero"/>
        <c:auto val="1"/>
        <c:lblAlgn val="ctr"/>
        <c:lblOffset val="100"/>
        <c:noMultiLvlLbl val="0"/>
      </c:catAx>
      <c:valAx>
        <c:axId val="9277263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1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[Coffee_Shop_Dashboard_Final.xlsx]Pivot_Tables!PivotTable6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B365D"/>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36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619895103745572E-2"/>
          <c:y val="0.16970253968551335"/>
          <c:w val="0.87819859222424779"/>
          <c:h val="0.72452154377025169"/>
        </c:manualLayout>
      </c:layout>
      <c:barChart>
        <c:barDir val="col"/>
        <c:grouping val="clustered"/>
        <c:varyColors val="0"/>
        <c:ser>
          <c:idx val="0"/>
          <c:order val="0"/>
          <c:tx>
            <c:strRef>
              <c:f>Pivot_Tables!$B$19</c:f>
              <c:strCache>
                <c:ptCount val="1"/>
                <c:pt idx="0">
                  <c:v>Total</c:v>
                </c:pt>
              </c:strCache>
            </c:strRef>
          </c:tx>
          <c:spPr>
            <a:solidFill>
              <a:srgbClr val="1B365D"/>
            </a:solidFill>
            <a:ln>
              <a:noFill/>
            </a:ln>
            <a:effectLst/>
          </c:spPr>
          <c:invertIfNegative val="0"/>
          <c:cat>
            <c:strRef>
              <c:f>Pivot_Tables!$A$20:$A$23</c:f>
              <c:strCache>
                <c:ptCount val="3"/>
                <c:pt idx="0">
                  <c:v>Food</c:v>
                </c:pt>
                <c:pt idx="1">
                  <c:v>Bakery</c:v>
                </c:pt>
                <c:pt idx="2">
                  <c:v>Beverage</c:v>
                </c:pt>
              </c:strCache>
            </c:strRef>
          </c:cat>
          <c:val>
            <c:numRef>
              <c:f>Pivot_Tables!$B$20:$B$23</c:f>
              <c:numCache>
                <c:formatCode>"£"#,##0.00</c:formatCode>
                <c:ptCount val="3"/>
                <c:pt idx="0">
                  <c:v>1111.5</c:v>
                </c:pt>
                <c:pt idx="1">
                  <c:v>2184</c:v>
                </c:pt>
                <c:pt idx="2">
                  <c:v>4349.5</c:v>
                </c:pt>
              </c:numCache>
            </c:numRef>
          </c:val>
          <c:extLst>
            <c:ext xmlns:c16="http://schemas.microsoft.com/office/drawing/2014/chart" uri="{C3380CC4-5D6E-409C-BE32-E72D297353CC}">
              <c16:uniqueId val="{00000000-2EAD-470C-B34F-007FD91BA579}"/>
            </c:ext>
          </c:extLst>
        </c:ser>
        <c:dLbls>
          <c:showLegendKey val="0"/>
          <c:showVal val="0"/>
          <c:showCatName val="0"/>
          <c:showSerName val="0"/>
          <c:showPercent val="0"/>
          <c:showBubbleSize val="0"/>
        </c:dLbls>
        <c:gapWidth val="219"/>
        <c:overlap val="-27"/>
        <c:axId val="802781183"/>
        <c:axId val="802780703"/>
      </c:barChart>
      <c:catAx>
        <c:axId val="80278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780703"/>
        <c:crosses val="autoZero"/>
        <c:auto val="1"/>
        <c:lblAlgn val="ctr"/>
        <c:lblOffset val="100"/>
        <c:noMultiLvlLbl val="0"/>
      </c:catAx>
      <c:valAx>
        <c:axId val="802780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78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[Coffee_Shop_Dashboard_Final.xlsx]Pivot_Tables!PivotTable8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Performing</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B36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B36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16210658860547"/>
          <c:y val="0.12211123758940723"/>
          <c:w val="0.82064425641464234"/>
          <c:h val="0.80177659520138866"/>
        </c:manualLayout>
      </c:layout>
      <c:barChart>
        <c:barDir val="bar"/>
        <c:grouping val="clustered"/>
        <c:varyColors val="0"/>
        <c:ser>
          <c:idx val="0"/>
          <c:order val="0"/>
          <c:tx>
            <c:strRef>
              <c:f>Pivot_Tables!$G$3</c:f>
              <c:strCache>
                <c:ptCount val="1"/>
                <c:pt idx="0">
                  <c:v>Total</c:v>
                </c:pt>
              </c:strCache>
            </c:strRef>
          </c:tx>
          <c:spPr>
            <a:solidFill>
              <a:srgbClr val="1B365D"/>
            </a:solidFill>
            <a:ln>
              <a:noFill/>
            </a:ln>
            <a:effectLst/>
          </c:spPr>
          <c:invertIfNegative val="0"/>
          <c:cat>
            <c:strRef>
              <c:f>Pivot_Tables!$F$4:$F$14</c:f>
              <c:strCache>
                <c:ptCount val="10"/>
                <c:pt idx="0">
                  <c:v>Americano</c:v>
                </c:pt>
                <c:pt idx="1">
                  <c:v>Cappuccino</c:v>
                </c:pt>
                <c:pt idx="2">
                  <c:v>Cookie</c:v>
                </c:pt>
                <c:pt idx="3">
                  <c:v>Croissant</c:v>
                </c:pt>
                <c:pt idx="4">
                  <c:v>Flat White</c:v>
                </c:pt>
                <c:pt idx="5">
                  <c:v>Iced Latte</c:v>
                </c:pt>
                <c:pt idx="6">
                  <c:v>Latte</c:v>
                </c:pt>
                <c:pt idx="7">
                  <c:v>Muffin</c:v>
                </c:pt>
                <c:pt idx="8">
                  <c:v>Sandwich</c:v>
                </c:pt>
                <c:pt idx="9">
                  <c:v>Smoothie</c:v>
                </c:pt>
              </c:strCache>
            </c:strRef>
          </c:cat>
          <c:val>
            <c:numRef>
              <c:f>Pivot_Tables!$G$4:$G$14</c:f>
              <c:numCache>
                <c:formatCode>"£"#,##0.00</c:formatCode>
                <c:ptCount val="10"/>
                <c:pt idx="0">
                  <c:v>598.5</c:v>
                </c:pt>
                <c:pt idx="1">
                  <c:v>652.5</c:v>
                </c:pt>
                <c:pt idx="2">
                  <c:v>1047.5</c:v>
                </c:pt>
                <c:pt idx="3">
                  <c:v>626.25</c:v>
                </c:pt>
                <c:pt idx="4">
                  <c:v>646</c:v>
                </c:pt>
                <c:pt idx="5">
                  <c:v>769.5</c:v>
                </c:pt>
                <c:pt idx="6">
                  <c:v>742.5</c:v>
                </c:pt>
                <c:pt idx="7">
                  <c:v>510.25</c:v>
                </c:pt>
                <c:pt idx="8">
                  <c:v>1111.5</c:v>
                </c:pt>
                <c:pt idx="9">
                  <c:v>940.5</c:v>
                </c:pt>
              </c:numCache>
            </c:numRef>
          </c:val>
          <c:extLst>
            <c:ext xmlns:c16="http://schemas.microsoft.com/office/drawing/2014/chart" uri="{C3380CC4-5D6E-409C-BE32-E72D297353CC}">
              <c16:uniqueId val="{00000000-39E9-4D1F-BD71-56F90435DB39}"/>
            </c:ext>
          </c:extLst>
        </c:ser>
        <c:dLbls>
          <c:showLegendKey val="0"/>
          <c:showVal val="0"/>
          <c:showCatName val="0"/>
          <c:showSerName val="0"/>
          <c:showPercent val="0"/>
          <c:showBubbleSize val="0"/>
        </c:dLbls>
        <c:gapWidth val="182"/>
        <c:axId val="802781663"/>
        <c:axId val="1401154335"/>
      </c:barChart>
      <c:catAx>
        <c:axId val="802781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154335"/>
        <c:crosses val="autoZero"/>
        <c:auto val="1"/>
        <c:lblAlgn val="ctr"/>
        <c:lblOffset val="100"/>
        <c:noMultiLvlLbl val="0"/>
      </c:catAx>
      <c:valAx>
        <c:axId val="14011543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78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[Coffee_Shop_Dashboard_Final.xlsx]Pivot_Tables!PivotTable7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Day of the Week</a:t>
            </a:r>
          </a:p>
        </c:rich>
      </c:tx>
      <c:layout>
        <c:manualLayout>
          <c:xMode val="edge"/>
          <c:yMode val="edge"/>
          <c:x val="0.31699284394965538"/>
          <c:y val="1.9813117063540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B365D"/>
          </a:solidFill>
          <a:ln>
            <a:solidFill>
              <a:srgbClr val="1B365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B36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Pivot_Tables!$G$19</c:f>
              <c:strCache>
                <c:ptCount val="1"/>
                <c:pt idx="0">
                  <c:v>Total</c:v>
                </c:pt>
              </c:strCache>
            </c:strRef>
          </c:tx>
          <c:spPr>
            <a:solidFill>
              <a:srgbClr val="1B365D"/>
            </a:solidFill>
            <a:ln>
              <a:noFill/>
            </a:ln>
            <a:effectLst/>
          </c:spPr>
          <c:invertIfNegative val="0"/>
          <c:cat>
            <c:strRef>
              <c:f>Pivot_Tables!$F$20:$F$27</c:f>
              <c:strCache>
                <c:ptCount val="7"/>
                <c:pt idx="0">
                  <c:v>Monday</c:v>
                </c:pt>
                <c:pt idx="1">
                  <c:v>Tuesday</c:v>
                </c:pt>
                <c:pt idx="2">
                  <c:v>Wednesday</c:v>
                </c:pt>
                <c:pt idx="3">
                  <c:v>Thursday</c:v>
                </c:pt>
                <c:pt idx="4">
                  <c:v>Friday</c:v>
                </c:pt>
                <c:pt idx="5">
                  <c:v>Saturday</c:v>
                </c:pt>
                <c:pt idx="6">
                  <c:v>Sunday</c:v>
                </c:pt>
              </c:strCache>
            </c:strRef>
          </c:cat>
          <c:val>
            <c:numRef>
              <c:f>Pivot_Tables!$G$20:$G$27</c:f>
              <c:numCache>
                <c:formatCode>"£"#,##0.00</c:formatCode>
                <c:ptCount val="7"/>
                <c:pt idx="0">
                  <c:v>1015.25</c:v>
                </c:pt>
                <c:pt idx="1">
                  <c:v>1087.5</c:v>
                </c:pt>
                <c:pt idx="2">
                  <c:v>986.25</c:v>
                </c:pt>
                <c:pt idx="3">
                  <c:v>1184.25</c:v>
                </c:pt>
                <c:pt idx="4">
                  <c:v>1067.75</c:v>
                </c:pt>
                <c:pt idx="5">
                  <c:v>1194.75</c:v>
                </c:pt>
                <c:pt idx="6">
                  <c:v>1109.25</c:v>
                </c:pt>
              </c:numCache>
            </c:numRef>
          </c:val>
          <c:extLst>
            <c:ext xmlns:c16="http://schemas.microsoft.com/office/drawing/2014/chart" uri="{C3380CC4-5D6E-409C-BE32-E72D297353CC}">
              <c16:uniqueId val="{00000000-6C08-4073-992E-D48FEE1F8665}"/>
            </c:ext>
          </c:extLst>
        </c:ser>
        <c:dLbls>
          <c:showLegendKey val="0"/>
          <c:showVal val="0"/>
          <c:showCatName val="0"/>
          <c:showSerName val="0"/>
          <c:showPercent val="0"/>
          <c:showBubbleSize val="0"/>
        </c:dLbls>
        <c:gapWidth val="219"/>
        <c:overlap val="-27"/>
        <c:axId val="1502804687"/>
        <c:axId val="1502797967"/>
      </c:barChart>
      <c:catAx>
        <c:axId val="150280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797967"/>
        <c:crosses val="autoZero"/>
        <c:auto val="1"/>
        <c:lblAlgn val="ctr"/>
        <c:lblOffset val="100"/>
        <c:noMultiLvlLbl val="0"/>
      </c:catAx>
      <c:valAx>
        <c:axId val="1502797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0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6</xdr:col>
      <xdr:colOff>512078</xdr:colOff>
      <xdr:row>0</xdr:row>
      <xdr:rowOff>0</xdr:rowOff>
    </xdr:from>
    <xdr:to>
      <xdr:col>7</xdr:col>
      <xdr:colOff>330860</xdr:colOff>
      <xdr:row>1</xdr:row>
      <xdr:rowOff>28048</xdr:rowOff>
    </xdr:to>
    <xdr:pic>
      <xdr:nvPicPr>
        <xdr:cNvPr id="6" name="Picture 5">
          <a:extLst>
            <a:ext uri="{FF2B5EF4-FFF2-40B4-BE49-F238E27FC236}">
              <a16:creationId xmlns:a16="http://schemas.microsoft.com/office/drawing/2014/main" id="{C74C3CEB-53FE-317D-13BC-19AA51122C77}"/>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6176" b="82238" l="31820" r="69700"/>
                  </a14:imgEffect>
                </a14:imgLayer>
              </a14:imgProps>
            </a:ext>
          </a:extLst>
        </a:blip>
        <a:srcRect l="27085" t="7918" r="25565" b="9504"/>
        <a:stretch>
          <a:fillRect/>
        </a:stretch>
      </xdr:blipFill>
      <xdr:spPr>
        <a:xfrm>
          <a:off x="4682483" y="0"/>
          <a:ext cx="428039" cy="388453"/>
        </a:xfrm>
        <a:prstGeom prst="rect">
          <a:avLst/>
        </a:prstGeom>
      </xdr:spPr>
    </xdr:pic>
    <xdr:clientData/>
  </xdr:twoCellAnchor>
  <xdr:twoCellAnchor>
    <xdr:from>
      <xdr:col>3</xdr:col>
      <xdr:colOff>99785</xdr:colOff>
      <xdr:row>8</xdr:row>
      <xdr:rowOff>13138</xdr:rowOff>
    </xdr:from>
    <xdr:to>
      <xdr:col>12</xdr:col>
      <xdr:colOff>51593</xdr:colOff>
      <xdr:row>14</xdr:row>
      <xdr:rowOff>127000</xdr:rowOff>
    </xdr:to>
    <xdr:graphicFrame macro="">
      <xdr:nvGraphicFramePr>
        <xdr:cNvPr id="2" name="Chart 1">
          <a:extLst>
            <a:ext uri="{FF2B5EF4-FFF2-40B4-BE49-F238E27FC236}">
              <a16:creationId xmlns:a16="http://schemas.microsoft.com/office/drawing/2014/main" id="{B8608566-A49E-36B5-46AD-3755E4AE9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39688</xdr:colOff>
      <xdr:row>8</xdr:row>
      <xdr:rowOff>11789</xdr:rowOff>
    </xdr:from>
    <xdr:to>
      <xdr:col>18</xdr:col>
      <xdr:colOff>709706</xdr:colOff>
      <xdr:row>14</xdr:row>
      <xdr:rowOff>130628</xdr:rowOff>
    </xdr:to>
    <xdr:graphicFrame macro="">
      <xdr:nvGraphicFramePr>
        <xdr:cNvPr id="3" name="Chart 2">
          <a:extLst>
            <a:ext uri="{FF2B5EF4-FFF2-40B4-BE49-F238E27FC236}">
              <a16:creationId xmlns:a16="http://schemas.microsoft.com/office/drawing/2014/main" id="{A944F785-A230-689E-BD62-C16AF378F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98198</xdr:colOff>
      <xdr:row>14</xdr:row>
      <xdr:rowOff>119743</xdr:rowOff>
    </xdr:from>
    <xdr:to>
      <xdr:col>12</xdr:col>
      <xdr:colOff>59404</xdr:colOff>
      <xdr:row>27</xdr:row>
      <xdr:rowOff>92529</xdr:rowOff>
    </xdr:to>
    <xdr:graphicFrame macro="">
      <xdr:nvGraphicFramePr>
        <xdr:cNvPr id="4" name="Chart 3">
          <a:extLst>
            <a:ext uri="{FF2B5EF4-FFF2-40B4-BE49-F238E27FC236}">
              <a16:creationId xmlns:a16="http://schemas.microsoft.com/office/drawing/2014/main" id="{3B8D7B55-FB7B-5FFC-5BDF-2D59399D0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39687</xdr:colOff>
      <xdr:row>14</xdr:row>
      <xdr:rowOff>127000</xdr:rowOff>
    </xdr:from>
    <xdr:to>
      <xdr:col>18</xdr:col>
      <xdr:colOff>710406</xdr:colOff>
      <xdr:row>27</xdr:row>
      <xdr:rowOff>105103</xdr:rowOff>
    </xdr:to>
    <xdr:graphicFrame macro="">
      <xdr:nvGraphicFramePr>
        <xdr:cNvPr id="5" name="Chart 4">
          <a:extLst>
            <a:ext uri="{FF2B5EF4-FFF2-40B4-BE49-F238E27FC236}">
              <a16:creationId xmlns:a16="http://schemas.microsoft.com/office/drawing/2014/main" id="{2BF6FA5C-8A42-1E1F-B113-1A2CE30F9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319100</xdr:colOff>
      <xdr:row>8</xdr:row>
      <xdr:rowOff>19744</xdr:rowOff>
    </xdr:from>
    <xdr:to>
      <xdr:col>2</xdr:col>
      <xdr:colOff>415257</xdr:colOff>
      <xdr:row>14</xdr:row>
      <xdr:rowOff>99116</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70D6387B-8676-4D15-8B46-E86E71A4FB7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19100" y="1988244"/>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313765</xdr:colOff>
      <xdr:row>14</xdr:row>
      <xdr:rowOff>194235</xdr:rowOff>
    </xdr:from>
    <xdr:to>
      <xdr:col>2</xdr:col>
      <xdr:colOff>416859</xdr:colOff>
      <xdr:row>26</xdr:row>
      <xdr:rowOff>124196</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6E267A0C-4A69-4A2E-8A94-9DF5A8182D0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13765" y="4702735"/>
              <a:ext cx="1835737" cy="2560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gar Lungumbu" refreshedDate="46190.921115625002" createdVersion="8" refreshedVersion="8" minRefreshableVersion="3" recordCount="543" xr:uid="{A0C93C9E-D5A5-4D89-827E-CE001D823837}">
  <cacheSource type="worksheet">
    <worksheetSource name="Sales_Data"/>
  </cacheSource>
  <cacheFields count="10">
    <cacheField name="Date" numFmtId="14">
      <sharedItems containsSemiMixedTypes="0" containsNonDate="0" containsDate="1" containsString="0" minDate="2026-01-01T00:00:00" maxDate="2026-07-01T00:00:00" count="181">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sharedItems>
      <fieldGroup par="9"/>
    </cacheField>
    <cacheField name="Product" numFmtId="0">
      <sharedItems count="10">
        <s v="Latte"/>
        <s v="Croissant"/>
        <s v="Americano"/>
        <s v="Sandwich"/>
        <s v="Smoothie"/>
        <s v="Muffin"/>
        <s v="Cappuccino"/>
        <s v="Cookie"/>
        <s v="Iced Latte"/>
        <s v="Flat White"/>
      </sharedItems>
    </cacheField>
    <cacheField name="Category" numFmtId="0">
      <sharedItems count="3">
        <s v="Beverage"/>
        <s v="Bakery"/>
        <s v="Food"/>
      </sharedItems>
    </cacheField>
    <cacheField name="Quantity" numFmtId="0">
      <sharedItems containsSemiMixedTypes="0" containsString="0" containsNumber="1" containsInteger="1" minValue="1" maxValue="12"/>
    </cacheField>
    <cacheField name="Unit Price" numFmtId="164">
      <sharedItems containsSemiMixedTypes="0" containsString="0" containsNumber="1" minValue="2.5" maxValue="6.5"/>
    </cacheField>
    <cacheField name="Revenue" numFmtId="164">
      <sharedItems containsSemiMixedTypes="0" containsString="0" containsNumber="1" minValue="3.25" maxValue="33"/>
    </cacheField>
    <cacheField name="Day_of_Week" numFmtId="0">
      <sharedItems count="7">
        <s v="Thursday"/>
        <s v="Friday"/>
        <s v="Saturday"/>
        <s v="Sunday"/>
        <s v="Monday"/>
        <s v="Tuesday"/>
        <s v="Wednesday"/>
      </sharedItems>
    </cacheField>
    <cacheField name="Month" numFmtId="0">
      <sharedItems count="6">
        <s v="January"/>
        <s v="February"/>
        <s v="March"/>
        <s v="April"/>
        <s v="May"/>
        <s v="June"/>
      </sharedItems>
    </cacheField>
    <cacheField name="Days (Date)" numFmtId="0" databaseField="0">
      <fieldGroup base="0">
        <rangePr groupBy="days" startDate="2026-01-01T00:00:00" endDate="2026-07-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Date)" numFmtId="0" databaseField="0">
      <fieldGroup base="0">
        <rangePr groupBy="months" startDate="2026-01-01T00:00:00" endDate="2026-07-01T00:00:00"/>
        <groupItems count="14">
          <s v="&lt;01/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1009190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3">
  <r>
    <x v="0"/>
    <x v="0"/>
    <x v="0"/>
    <n v="2"/>
    <n v="4.5"/>
    <n v="9"/>
    <x v="0"/>
    <x v="0"/>
  </r>
  <r>
    <x v="0"/>
    <x v="1"/>
    <x v="1"/>
    <n v="1"/>
    <n v="3.75"/>
    <n v="3.75"/>
    <x v="0"/>
    <x v="0"/>
  </r>
  <r>
    <x v="0"/>
    <x v="2"/>
    <x v="0"/>
    <n v="4"/>
    <n v="3.5"/>
    <n v="14"/>
    <x v="0"/>
    <x v="0"/>
  </r>
  <r>
    <x v="1"/>
    <x v="3"/>
    <x v="2"/>
    <n v="3"/>
    <n v="6.5"/>
    <n v="19.5"/>
    <x v="1"/>
    <x v="0"/>
  </r>
  <r>
    <x v="1"/>
    <x v="4"/>
    <x v="0"/>
    <n v="1"/>
    <n v="5.5"/>
    <n v="5.5"/>
    <x v="1"/>
    <x v="0"/>
  </r>
  <r>
    <x v="1"/>
    <x v="5"/>
    <x v="1"/>
    <n v="5"/>
    <n v="3.25"/>
    <n v="16.25"/>
    <x v="1"/>
    <x v="0"/>
  </r>
  <r>
    <x v="2"/>
    <x v="6"/>
    <x v="0"/>
    <n v="2"/>
    <n v="4.5"/>
    <n v="9"/>
    <x v="2"/>
    <x v="0"/>
  </r>
  <r>
    <x v="2"/>
    <x v="7"/>
    <x v="1"/>
    <n v="8"/>
    <n v="2.5"/>
    <n v="20"/>
    <x v="2"/>
    <x v="0"/>
  </r>
  <r>
    <x v="2"/>
    <x v="8"/>
    <x v="0"/>
    <n v="3"/>
    <n v="4.75"/>
    <n v="14.25"/>
    <x v="2"/>
    <x v="0"/>
  </r>
  <r>
    <x v="3"/>
    <x v="9"/>
    <x v="0"/>
    <n v="2"/>
    <n v="4.25"/>
    <n v="8.5"/>
    <x v="3"/>
    <x v="0"/>
  </r>
  <r>
    <x v="3"/>
    <x v="3"/>
    <x v="2"/>
    <n v="1"/>
    <n v="6.5"/>
    <n v="6.5"/>
    <x v="3"/>
    <x v="0"/>
  </r>
  <r>
    <x v="3"/>
    <x v="0"/>
    <x v="0"/>
    <n v="6"/>
    <n v="4.5"/>
    <n v="27"/>
    <x v="3"/>
    <x v="0"/>
  </r>
  <r>
    <x v="4"/>
    <x v="1"/>
    <x v="1"/>
    <n v="4"/>
    <n v="3.75"/>
    <n v="15"/>
    <x v="4"/>
    <x v="0"/>
  </r>
  <r>
    <x v="4"/>
    <x v="7"/>
    <x v="1"/>
    <n v="2"/>
    <n v="2.5"/>
    <n v="5"/>
    <x v="4"/>
    <x v="0"/>
  </r>
  <r>
    <x v="4"/>
    <x v="4"/>
    <x v="0"/>
    <n v="3"/>
    <n v="5.5"/>
    <n v="16.5"/>
    <x v="4"/>
    <x v="0"/>
  </r>
  <r>
    <x v="5"/>
    <x v="2"/>
    <x v="0"/>
    <n v="1"/>
    <n v="3.5"/>
    <n v="3.5"/>
    <x v="5"/>
    <x v="0"/>
  </r>
  <r>
    <x v="5"/>
    <x v="5"/>
    <x v="1"/>
    <n v="3"/>
    <n v="3.25"/>
    <n v="9.75"/>
    <x v="5"/>
    <x v="0"/>
  </r>
  <r>
    <x v="5"/>
    <x v="8"/>
    <x v="0"/>
    <n v="5"/>
    <n v="4.75"/>
    <n v="23.75"/>
    <x v="5"/>
    <x v="0"/>
  </r>
  <r>
    <x v="6"/>
    <x v="6"/>
    <x v="0"/>
    <n v="2"/>
    <n v="4.5"/>
    <n v="9"/>
    <x v="6"/>
    <x v="0"/>
  </r>
  <r>
    <x v="6"/>
    <x v="9"/>
    <x v="0"/>
    <n v="4"/>
    <n v="4.25"/>
    <n v="17"/>
    <x v="6"/>
    <x v="0"/>
  </r>
  <r>
    <x v="6"/>
    <x v="3"/>
    <x v="2"/>
    <n v="2"/>
    <n v="6.5"/>
    <n v="13"/>
    <x v="6"/>
    <x v="0"/>
  </r>
  <r>
    <x v="7"/>
    <x v="0"/>
    <x v="0"/>
    <n v="1"/>
    <n v="4.5"/>
    <n v="4.5"/>
    <x v="0"/>
    <x v="0"/>
  </r>
  <r>
    <x v="7"/>
    <x v="7"/>
    <x v="1"/>
    <n v="10"/>
    <n v="2.5"/>
    <n v="25"/>
    <x v="0"/>
    <x v="0"/>
  </r>
  <r>
    <x v="7"/>
    <x v="5"/>
    <x v="1"/>
    <n v="2"/>
    <n v="3.25"/>
    <n v="6.5"/>
    <x v="0"/>
    <x v="0"/>
  </r>
  <r>
    <x v="8"/>
    <x v="4"/>
    <x v="0"/>
    <n v="4"/>
    <n v="5.5"/>
    <n v="22"/>
    <x v="1"/>
    <x v="0"/>
  </r>
  <r>
    <x v="8"/>
    <x v="1"/>
    <x v="1"/>
    <n v="3"/>
    <n v="3.75"/>
    <n v="11.25"/>
    <x v="1"/>
    <x v="0"/>
  </r>
  <r>
    <x v="8"/>
    <x v="2"/>
    <x v="0"/>
    <n v="2"/>
    <n v="3.5"/>
    <n v="7"/>
    <x v="1"/>
    <x v="0"/>
  </r>
  <r>
    <x v="9"/>
    <x v="9"/>
    <x v="0"/>
    <n v="1"/>
    <n v="4.25"/>
    <n v="4.25"/>
    <x v="2"/>
    <x v="0"/>
  </r>
  <r>
    <x v="9"/>
    <x v="8"/>
    <x v="0"/>
    <n v="3"/>
    <n v="4.75"/>
    <n v="14.25"/>
    <x v="2"/>
    <x v="0"/>
  </r>
  <r>
    <x v="9"/>
    <x v="3"/>
    <x v="2"/>
    <n v="5"/>
    <n v="6.5"/>
    <n v="32.5"/>
    <x v="2"/>
    <x v="0"/>
  </r>
  <r>
    <x v="10"/>
    <x v="6"/>
    <x v="0"/>
    <n v="4"/>
    <n v="4.5"/>
    <n v="18"/>
    <x v="3"/>
    <x v="0"/>
  </r>
  <r>
    <x v="10"/>
    <x v="7"/>
    <x v="1"/>
    <n v="6"/>
    <n v="2.5"/>
    <n v="15"/>
    <x v="3"/>
    <x v="0"/>
  </r>
  <r>
    <x v="10"/>
    <x v="0"/>
    <x v="0"/>
    <n v="2"/>
    <n v="4.5"/>
    <n v="9"/>
    <x v="3"/>
    <x v="0"/>
  </r>
  <r>
    <x v="11"/>
    <x v="5"/>
    <x v="1"/>
    <n v="1"/>
    <n v="3.25"/>
    <n v="3.25"/>
    <x v="4"/>
    <x v="0"/>
  </r>
  <r>
    <x v="11"/>
    <x v="4"/>
    <x v="0"/>
    <n v="5"/>
    <n v="5.5"/>
    <n v="27.5"/>
    <x v="4"/>
    <x v="0"/>
  </r>
  <r>
    <x v="11"/>
    <x v="1"/>
    <x v="1"/>
    <n v="2"/>
    <n v="3.75"/>
    <n v="7.5"/>
    <x v="4"/>
    <x v="0"/>
  </r>
  <r>
    <x v="12"/>
    <x v="2"/>
    <x v="0"/>
    <n v="3"/>
    <n v="3.5"/>
    <n v="10.5"/>
    <x v="5"/>
    <x v="0"/>
  </r>
  <r>
    <x v="12"/>
    <x v="9"/>
    <x v="0"/>
    <n v="2"/>
    <n v="4.25"/>
    <n v="8.5"/>
    <x v="5"/>
    <x v="0"/>
  </r>
  <r>
    <x v="12"/>
    <x v="3"/>
    <x v="2"/>
    <n v="4"/>
    <n v="6.5"/>
    <n v="26"/>
    <x v="5"/>
    <x v="0"/>
  </r>
  <r>
    <x v="13"/>
    <x v="8"/>
    <x v="0"/>
    <n v="1"/>
    <n v="4.75"/>
    <n v="4.75"/>
    <x v="6"/>
    <x v="0"/>
  </r>
  <r>
    <x v="13"/>
    <x v="6"/>
    <x v="0"/>
    <n v="3"/>
    <n v="4.5"/>
    <n v="13.5"/>
    <x v="6"/>
    <x v="0"/>
  </r>
  <r>
    <x v="13"/>
    <x v="7"/>
    <x v="1"/>
    <n v="7"/>
    <n v="2.5"/>
    <n v="17.5"/>
    <x v="6"/>
    <x v="0"/>
  </r>
  <r>
    <x v="14"/>
    <x v="0"/>
    <x v="0"/>
    <n v="5"/>
    <n v="4.5"/>
    <n v="22.5"/>
    <x v="0"/>
    <x v="0"/>
  </r>
  <r>
    <x v="14"/>
    <x v="5"/>
    <x v="1"/>
    <n v="4"/>
    <n v="3.25"/>
    <n v="13"/>
    <x v="0"/>
    <x v="0"/>
  </r>
  <r>
    <x v="14"/>
    <x v="4"/>
    <x v="0"/>
    <n v="2"/>
    <n v="5.5"/>
    <n v="11"/>
    <x v="0"/>
    <x v="0"/>
  </r>
  <r>
    <x v="15"/>
    <x v="1"/>
    <x v="1"/>
    <n v="1"/>
    <n v="3.75"/>
    <n v="3.75"/>
    <x v="1"/>
    <x v="0"/>
  </r>
  <r>
    <x v="15"/>
    <x v="3"/>
    <x v="2"/>
    <n v="3"/>
    <n v="6.5"/>
    <n v="19.5"/>
    <x v="1"/>
    <x v="0"/>
  </r>
  <r>
    <x v="15"/>
    <x v="2"/>
    <x v="0"/>
    <n v="6"/>
    <n v="3.5"/>
    <n v="21"/>
    <x v="1"/>
    <x v="0"/>
  </r>
  <r>
    <x v="16"/>
    <x v="9"/>
    <x v="0"/>
    <n v="2"/>
    <n v="4.25"/>
    <n v="8.5"/>
    <x v="2"/>
    <x v="0"/>
  </r>
  <r>
    <x v="16"/>
    <x v="8"/>
    <x v="0"/>
    <n v="4"/>
    <n v="4.75"/>
    <n v="19"/>
    <x v="2"/>
    <x v="0"/>
  </r>
  <r>
    <x v="16"/>
    <x v="6"/>
    <x v="0"/>
    <n v="1"/>
    <n v="4.5"/>
    <n v="4.5"/>
    <x v="2"/>
    <x v="0"/>
  </r>
  <r>
    <x v="17"/>
    <x v="7"/>
    <x v="1"/>
    <n v="12"/>
    <n v="2.5"/>
    <n v="30"/>
    <x v="3"/>
    <x v="0"/>
  </r>
  <r>
    <x v="17"/>
    <x v="0"/>
    <x v="0"/>
    <n v="3"/>
    <n v="4.5"/>
    <n v="13.5"/>
    <x v="3"/>
    <x v="0"/>
  </r>
  <r>
    <x v="17"/>
    <x v="5"/>
    <x v="1"/>
    <n v="2"/>
    <n v="3.25"/>
    <n v="6.5"/>
    <x v="3"/>
    <x v="0"/>
  </r>
  <r>
    <x v="18"/>
    <x v="4"/>
    <x v="0"/>
    <n v="1"/>
    <n v="5.5"/>
    <n v="5.5"/>
    <x v="4"/>
    <x v="0"/>
  </r>
  <r>
    <x v="18"/>
    <x v="1"/>
    <x v="1"/>
    <n v="5"/>
    <n v="3.75"/>
    <n v="18.75"/>
    <x v="4"/>
    <x v="0"/>
  </r>
  <r>
    <x v="18"/>
    <x v="3"/>
    <x v="2"/>
    <n v="2"/>
    <n v="6.5"/>
    <n v="13"/>
    <x v="4"/>
    <x v="0"/>
  </r>
  <r>
    <x v="19"/>
    <x v="2"/>
    <x v="0"/>
    <n v="4"/>
    <n v="3.5"/>
    <n v="14"/>
    <x v="5"/>
    <x v="0"/>
  </r>
  <r>
    <x v="19"/>
    <x v="9"/>
    <x v="0"/>
    <n v="3"/>
    <n v="4.25"/>
    <n v="12.75"/>
    <x v="5"/>
    <x v="0"/>
  </r>
  <r>
    <x v="19"/>
    <x v="8"/>
    <x v="0"/>
    <n v="2"/>
    <n v="4.75"/>
    <n v="9.5"/>
    <x v="5"/>
    <x v="0"/>
  </r>
  <r>
    <x v="20"/>
    <x v="6"/>
    <x v="0"/>
    <n v="5"/>
    <n v="4.5"/>
    <n v="22.5"/>
    <x v="6"/>
    <x v="0"/>
  </r>
  <r>
    <x v="20"/>
    <x v="7"/>
    <x v="1"/>
    <n v="4"/>
    <n v="2.5"/>
    <n v="10"/>
    <x v="6"/>
    <x v="0"/>
  </r>
  <r>
    <x v="20"/>
    <x v="0"/>
    <x v="0"/>
    <n v="1"/>
    <n v="4.5"/>
    <n v="4.5"/>
    <x v="6"/>
    <x v="0"/>
  </r>
  <r>
    <x v="21"/>
    <x v="5"/>
    <x v="1"/>
    <n v="3"/>
    <n v="3.25"/>
    <n v="9.75"/>
    <x v="0"/>
    <x v="0"/>
  </r>
  <r>
    <x v="21"/>
    <x v="4"/>
    <x v="0"/>
    <n v="6"/>
    <n v="5.5"/>
    <n v="33"/>
    <x v="0"/>
    <x v="0"/>
  </r>
  <r>
    <x v="21"/>
    <x v="1"/>
    <x v="1"/>
    <n v="2"/>
    <n v="3.75"/>
    <n v="7.5"/>
    <x v="0"/>
    <x v="0"/>
  </r>
  <r>
    <x v="22"/>
    <x v="3"/>
    <x v="2"/>
    <n v="1"/>
    <n v="6.5"/>
    <n v="6.5"/>
    <x v="1"/>
    <x v="0"/>
  </r>
  <r>
    <x v="22"/>
    <x v="2"/>
    <x v="0"/>
    <n v="3"/>
    <n v="3.5"/>
    <n v="10.5"/>
    <x v="1"/>
    <x v="0"/>
  </r>
  <r>
    <x v="22"/>
    <x v="9"/>
    <x v="0"/>
    <n v="5"/>
    <n v="4.25"/>
    <n v="21.25"/>
    <x v="1"/>
    <x v="0"/>
  </r>
  <r>
    <x v="23"/>
    <x v="8"/>
    <x v="0"/>
    <n v="2"/>
    <n v="4.75"/>
    <n v="9.5"/>
    <x v="2"/>
    <x v="0"/>
  </r>
  <r>
    <x v="23"/>
    <x v="6"/>
    <x v="0"/>
    <n v="2"/>
    <n v="4.5"/>
    <n v="9"/>
    <x v="2"/>
    <x v="0"/>
  </r>
  <r>
    <x v="23"/>
    <x v="7"/>
    <x v="1"/>
    <n v="9"/>
    <n v="2.5"/>
    <n v="22.5"/>
    <x v="2"/>
    <x v="0"/>
  </r>
  <r>
    <x v="24"/>
    <x v="0"/>
    <x v="0"/>
    <n v="4"/>
    <n v="4.5"/>
    <n v="18"/>
    <x v="3"/>
    <x v="0"/>
  </r>
  <r>
    <x v="24"/>
    <x v="5"/>
    <x v="1"/>
    <n v="1"/>
    <n v="3.25"/>
    <n v="3.25"/>
    <x v="3"/>
    <x v="0"/>
  </r>
  <r>
    <x v="24"/>
    <x v="4"/>
    <x v="0"/>
    <n v="3"/>
    <n v="5.5"/>
    <n v="16.5"/>
    <x v="3"/>
    <x v="0"/>
  </r>
  <r>
    <x v="25"/>
    <x v="1"/>
    <x v="1"/>
    <n v="6"/>
    <n v="3.75"/>
    <n v="22.5"/>
    <x v="4"/>
    <x v="0"/>
  </r>
  <r>
    <x v="25"/>
    <x v="3"/>
    <x v="2"/>
    <n v="3"/>
    <n v="6.5"/>
    <n v="19.5"/>
    <x v="4"/>
    <x v="0"/>
  </r>
  <r>
    <x v="25"/>
    <x v="2"/>
    <x v="0"/>
    <n v="2"/>
    <n v="3.5"/>
    <n v="7"/>
    <x v="4"/>
    <x v="0"/>
  </r>
  <r>
    <x v="26"/>
    <x v="9"/>
    <x v="0"/>
    <n v="1"/>
    <n v="4.25"/>
    <n v="4.25"/>
    <x v="5"/>
    <x v="0"/>
  </r>
  <r>
    <x v="26"/>
    <x v="8"/>
    <x v="0"/>
    <n v="5"/>
    <n v="4.75"/>
    <n v="23.75"/>
    <x v="5"/>
    <x v="0"/>
  </r>
  <r>
    <x v="26"/>
    <x v="6"/>
    <x v="0"/>
    <n v="3"/>
    <n v="4.5"/>
    <n v="13.5"/>
    <x v="5"/>
    <x v="0"/>
  </r>
  <r>
    <x v="27"/>
    <x v="7"/>
    <x v="1"/>
    <n v="5"/>
    <n v="2.5"/>
    <n v="12.5"/>
    <x v="6"/>
    <x v="0"/>
  </r>
  <r>
    <x v="27"/>
    <x v="0"/>
    <x v="0"/>
    <n v="2"/>
    <n v="4.5"/>
    <n v="9"/>
    <x v="6"/>
    <x v="0"/>
  </r>
  <r>
    <x v="27"/>
    <x v="5"/>
    <x v="1"/>
    <n v="4"/>
    <n v="3.25"/>
    <n v="13"/>
    <x v="6"/>
    <x v="0"/>
  </r>
  <r>
    <x v="28"/>
    <x v="4"/>
    <x v="0"/>
    <n v="2"/>
    <n v="5.5"/>
    <n v="11"/>
    <x v="0"/>
    <x v="0"/>
  </r>
  <r>
    <x v="28"/>
    <x v="1"/>
    <x v="1"/>
    <n v="1"/>
    <n v="3.75"/>
    <n v="3.75"/>
    <x v="0"/>
    <x v="0"/>
  </r>
  <r>
    <x v="28"/>
    <x v="3"/>
    <x v="2"/>
    <n v="4"/>
    <n v="6.5"/>
    <n v="26"/>
    <x v="0"/>
    <x v="0"/>
  </r>
  <r>
    <x v="29"/>
    <x v="2"/>
    <x v="0"/>
    <n v="5"/>
    <n v="3.5"/>
    <n v="17.5"/>
    <x v="1"/>
    <x v="0"/>
  </r>
  <r>
    <x v="29"/>
    <x v="9"/>
    <x v="0"/>
    <n v="2"/>
    <n v="4.25"/>
    <n v="8.5"/>
    <x v="1"/>
    <x v="0"/>
  </r>
  <r>
    <x v="29"/>
    <x v="8"/>
    <x v="0"/>
    <n v="3"/>
    <n v="4.75"/>
    <n v="14.25"/>
    <x v="1"/>
    <x v="0"/>
  </r>
  <r>
    <x v="30"/>
    <x v="6"/>
    <x v="0"/>
    <n v="1"/>
    <n v="4.5"/>
    <n v="4.5"/>
    <x v="2"/>
    <x v="0"/>
  </r>
  <r>
    <x v="30"/>
    <x v="7"/>
    <x v="1"/>
    <n v="11"/>
    <n v="2.5"/>
    <n v="27.5"/>
    <x v="2"/>
    <x v="0"/>
  </r>
  <r>
    <x v="30"/>
    <x v="0"/>
    <x v="0"/>
    <n v="4"/>
    <n v="4.5"/>
    <n v="18"/>
    <x v="2"/>
    <x v="0"/>
  </r>
  <r>
    <x v="31"/>
    <x v="5"/>
    <x v="1"/>
    <n v="2"/>
    <n v="3.25"/>
    <n v="6.5"/>
    <x v="3"/>
    <x v="1"/>
  </r>
  <r>
    <x v="31"/>
    <x v="4"/>
    <x v="0"/>
    <n v="4"/>
    <n v="5.5"/>
    <n v="22"/>
    <x v="3"/>
    <x v="1"/>
  </r>
  <r>
    <x v="31"/>
    <x v="1"/>
    <x v="1"/>
    <n v="3"/>
    <n v="3.75"/>
    <n v="11.25"/>
    <x v="3"/>
    <x v="1"/>
  </r>
  <r>
    <x v="32"/>
    <x v="3"/>
    <x v="2"/>
    <n v="2"/>
    <n v="6.5"/>
    <n v="13"/>
    <x v="4"/>
    <x v="1"/>
  </r>
  <r>
    <x v="32"/>
    <x v="2"/>
    <x v="0"/>
    <n v="1"/>
    <n v="3.5"/>
    <n v="3.5"/>
    <x v="4"/>
    <x v="1"/>
  </r>
  <r>
    <x v="32"/>
    <x v="9"/>
    <x v="0"/>
    <n v="4"/>
    <n v="4.25"/>
    <n v="17"/>
    <x v="4"/>
    <x v="1"/>
  </r>
  <r>
    <x v="33"/>
    <x v="8"/>
    <x v="0"/>
    <n v="3"/>
    <n v="4.75"/>
    <n v="14.25"/>
    <x v="5"/>
    <x v="1"/>
  </r>
  <r>
    <x v="33"/>
    <x v="6"/>
    <x v="0"/>
    <n v="5"/>
    <n v="4.5"/>
    <n v="22.5"/>
    <x v="5"/>
    <x v="1"/>
  </r>
  <r>
    <x v="33"/>
    <x v="7"/>
    <x v="1"/>
    <n v="7"/>
    <n v="2.5"/>
    <n v="17.5"/>
    <x v="5"/>
    <x v="1"/>
  </r>
  <r>
    <x v="34"/>
    <x v="0"/>
    <x v="0"/>
    <n v="3"/>
    <n v="4.5"/>
    <n v="13.5"/>
    <x v="6"/>
    <x v="1"/>
  </r>
  <r>
    <x v="34"/>
    <x v="5"/>
    <x v="1"/>
    <n v="5"/>
    <n v="3.25"/>
    <n v="16.25"/>
    <x v="6"/>
    <x v="1"/>
  </r>
  <r>
    <x v="34"/>
    <x v="4"/>
    <x v="0"/>
    <n v="1"/>
    <n v="5.5"/>
    <n v="5.5"/>
    <x v="6"/>
    <x v="1"/>
  </r>
  <r>
    <x v="35"/>
    <x v="1"/>
    <x v="1"/>
    <n v="4"/>
    <n v="3.75"/>
    <n v="15"/>
    <x v="0"/>
    <x v="1"/>
  </r>
  <r>
    <x v="35"/>
    <x v="3"/>
    <x v="2"/>
    <n v="3"/>
    <n v="6.5"/>
    <n v="19.5"/>
    <x v="0"/>
    <x v="1"/>
  </r>
  <r>
    <x v="35"/>
    <x v="2"/>
    <x v="0"/>
    <n v="2"/>
    <n v="3.5"/>
    <n v="7"/>
    <x v="0"/>
    <x v="1"/>
  </r>
  <r>
    <x v="36"/>
    <x v="9"/>
    <x v="0"/>
    <n v="6"/>
    <n v="4.25"/>
    <n v="25.5"/>
    <x v="1"/>
    <x v="1"/>
  </r>
  <r>
    <x v="36"/>
    <x v="8"/>
    <x v="0"/>
    <n v="2"/>
    <n v="4.75"/>
    <n v="9.5"/>
    <x v="1"/>
    <x v="1"/>
  </r>
  <r>
    <x v="36"/>
    <x v="6"/>
    <x v="0"/>
    <n v="1"/>
    <n v="4.5"/>
    <n v="4.5"/>
    <x v="1"/>
    <x v="1"/>
  </r>
  <r>
    <x v="37"/>
    <x v="7"/>
    <x v="1"/>
    <n v="8"/>
    <n v="2.5"/>
    <n v="20"/>
    <x v="2"/>
    <x v="1"/>
  </r>
  <r>
    <x v="37"/>
    <x v="0"/>
    <x v="0"/>
    <n v="5"/>
    <n v="4.5"/>
    <n v="22.5"/>
    <x v="2"/>
    <x v="1"/>
  </r>
  <r>
    <x v="37"/>
    <x v="5"/>
    <x v="1"/>
    <n v="3"/>
    <n v="3.25"/>
    <n v="9.75"/>
    <x v="2"/>
    <x v="1"/>
  </r>
  <r>
    <x v="38"/>
    <x v="4"/>
    <x v="0"/>
    <n v="2"/>
    <n v="5.5"/>
    <n v="11"/>
    <x v="3"/>
    <x v="1"/>
  </r>
  <r>
    <x v="38"/>
    <x v="1"/>
    <x v="1"/>
    <n v="2"/>
    <n v="3.75"/>
    <n v="7.5"/>
    <x v="3"/>
    <x v="1"/>
  </r>
  <r>
    <x v="38"/>
    <x v="3"/>
    <x v="2"/>
    <n v="4"/>
    <n v="6.5"/>
    <n v="26"/>
    <x v="3"/>
    <x v="1"/>
  </r>
  <r>
    <x v="39"/>
    <x v="2"/>
    <x v="0"/>
    <n v="3"/>
    <n v="3.5"/>
    <n v="10.5"/>
    <x v="4"/>
    <x v="1"/>
  </r>
  <r>
    <x v="39"/>
    <x v="9"/>
    <x v="0"/>
    <n v="1"/>
    <n v="4.25"/>
    <n v="4.25"/>
    <x v="4"/>
    <x v="1"/>
  </r>
  <r>
    <x v="39"/>
    <x v="8"/>
    <x v="0"/>
    <n v="4"/>
    <n v="4.75"/>
    <n v="19"/>
    <x v="4"/>
    <x v="1"/>
  </r>
  <r>
    <x v="40"/>
    <x v="6"/>
    <x v="0"/>
    <n v="2"/>
    <n v="4.5"/>
    <n v="9"/>
    <x v="5"/>
    <x v="1"/>
  </r>
  <r>
    <x v="40"/>
    <x v="7"/>
    <x v="1"/>
    <n v="6"/>
    <n v="2.5"/>
    <n v="15"/>
    <x v="5"/>
    <x v="1"/>
  </r>
  <r>
    <x v="40"/>
    <x v="0"/>
    <x v="0"/>
    <n v="2"/>
    <n v="4.5"/>
    <n v="9"/>
    <x v="5"/>
    <x v="1"/>
  </r>
  <r>
    <x v="41"/>
    <x v="5"/>
    <x v="1"/>
    <n v="1"/>
    <n v="3.25"/>
    <n v="3.25"/>
    <x v="6"/>
    <x v="1"/>
  </r>
  <r>
    <x v="41"/>
    <x v="4"/>
    <x v="0"/>
    <n v="5"/>
    <n v="5.5"/>
    <n v="27.5"/>
    <x v="6"/>
    <x v="1"/>
  </r>
  <r>
    <x v="41"/>
    <x v="1"/>
    <x v="1"/>
    <n v="3"/>
    <n v="3.75"/>
    <n v="11.25"/>
    <x v="6"/>
    <x v="1"/>
  </r>
  <r>
    <x v="42"/>
    <x v="3"/>
    <x v="2"/>
    <n v="5"/>
    <n v="6.5"/>
    <n v="32.5"/>
    <x v="0"/>
    <x v="1"/>
  </r>
  <r>
    <x v="42"/>
    <x v="2"/>
    <x v="0"/>
    <n v="4"/>
    <n v="3.5"/>
    <n v="14"/>
    <x v="0"/>
    <x v="1"/>
  </r>
  <r>
    <x v="42"/>
    <x v="9"/>
    <x v="0"/>
    <n v="2"/>
    <n v="4.25"/>
    <n v="8.5"/>
    <x v="0"/>
    <x v="1"/>
  </r>
  <r>
    <x v="43"/>
    <x v="8"/>
    <x v="0"/>
    <n v="1"/>
    <n v="4.75"/>
    <n v="4.75"/>
    <x v="1"/>
    <x v="1"/>
  </r>
  <r>
    <x v="43"/>
    <x v="6"/>
    <x v="0"/>
    <n v="3"/>
    <n v="4.5"/>
    <n v="13.5"/>
    <x v="1"/>
    <x v="1"/>
  </r>
  <r>
    <x v="43"/>
    <x v="7"/>
    <x v="1"/>
    <n v="10"/>
    <n v="2.5"/>
    <n v="25"/>
    <x v="1"/>
    <x v="1"/>
  </r>
  <r>
    <x v="44"/>
    <x v="0"/>
    <x v="0"/>
    <n v="4"/>
    <n v="4.5"/>
    <n v="18"/>
    <x v="2"/>
    <x v="1"/>
  </r>
  <r>
    <x v="44"/>
    <x v="5"/>
    <x v="1"/>
    <n v="4"/>
    <n v="3.25"/>
    <n v="13"/>
    <x v="2"/>
    <x v="1"/>
  </r>
  <r>
    <x v="44"/>
    <x v="4"/>
    <x v="0"/>
    <n v="3"/>
    <n v="5.5"/>
    <n v="16.5"/>
    <x v="2"/>
    <x v="1"/>
  </r>
  <r>
    <x v="45"/>
    <x v="1"/>
    <x v="1"/>
    <n v="2"/>
    <n v="3.75"/>
    <n v="7.5"/>
    <x v="3"/>
    <x v="1"/>
  </r>
  <r>
    <x v="45"/>
    <x v="3"/>
    <x v="2"/>
    <n v="2"/>
    <n v="6.5"/>
    <n v="13"/>
    <x v="3"/>
    <x v="1"/>
  </r>
  <r>
    <x v="45"/>
    <x v="2"/>
    <x v="0"/>
    <n v="1"/>
    <n v="3.5"/>
    <n v="3.5"/>
    <x v="3"/>
    <x v="1"/>
  </r>
  <r>
    <x v="46"/>
    <x v="9"/>
    <x v="0"/>
    <n v="3"/>
    <n v="4.25"/>
    <n v="12.75"/>
    <x v="4"/>
    <x v="1"/>
  </r>
  <r>
    <x v="46"/>
    <x v="8"/>
    <x v="0"/>
    <n v="5"/>
    <n v="4.75"/>
    <n v="23.75"/>
    <x v="4"/>
    <x v="1"/>
  </r>
  <r>
    <x v="46"/>
    <x v="6"/>
    <x v="0"/>
    <n v="4"/>
    <n v="4.5"/>
    <n v="18"/>
    <x v="4"/>
    <x v="1"/>
  </r>
  <r>
    <x v="47"/>
    <x v="7"/>
    <x v="1"/>
    <n v="5"/>
    <n v="2.5"/>
    <n v="12.5"/>
    <x v="5"/>
    <x v="1"/>
  </r>
  <r>
    <x v="47"/>
    <x v="0"/>
    <x v="0"/>
    <n v="1"/>
    <n v="4.5"/>
    <n v="4.5"/>
    <x v="5"/>
    <x v="1"/>
  </r>
  <r>
    <x v="47"/>
    <x v="5"/>
    <x v="1"/>
    <n v="2"/>
    <n v="3.25"/>
    <n v="6.5"/>
    <x v="5"/>
    <x v="1"/>
  </r>
  <r>
    <x v="48"/>
    <x v="4"/>
    <x v="0"/>
    <n v="4"/>
    <n v="5.5"/>
    <n v="22"/>
    <x v="6"/>
    <x v="1"/>
  </r>
  <r>
    <x v="48"/>
    <x v="1"/>
    <x v="1"/>
    <n v="5"/>
    <n v="3.75"/>
    <n v="18.75"/>
    <x v="6"/>
    <x v="1"/>
  </r>
  <r>
    <x v="48"/>
    <x v="3"/>
    <x v="2"/>
    <n v="3"/>
    <n v="6.5"/>
    <n v="19.5"/>
    <x v="6"/>
    <x v="1"/>
  </r>
  <r>
    <x v="49"/>
    <x v="2"/>
    <x v="0"/>
    <n v="2"/>
    <n v="3.5"/>
    <n v="7"/>
    <x v="0"/>
    <x v="1"/>
  </r>
  <r>
    <x v="49"/>
    <x v="9"/>
    <x v="0"/>
    <n v="4"/>
    <n v="4.25"/>
    <n v="17"/>
    <x v="0"/>
    <x v="1"/>
  </r>
  <r>
    <x v="49"/>
    <x v="8"/>
    <x v="0"/>
    <n v="2"/>
    <n v="4.75"/>
    <n v="9.5"/>
    <x v="0"/>
    <x v="1"/>
  </r>
  <r>
    <x v="50"/>
    <x v="6"/>
    <x v="0"/>
    <n v="2"/>
    <n v="4.5"/>
    <n v="9"/>
    <x v="1"/>
    <x v="1"/>
  </r>
  <r>
    <x v="50"/>
    <x v="7"/>
    <x v="1"/>
    <n v="8"/>
    <n v="2.5"/>
    <n v="20"/>
    <x v="1"/>
    <x v="1"/>
  </r>
  <r>
    <x v="50"/>
    <x v="0"/>
    <x v="0"/>
    <n v="6"/>
    <n v="4.5"/>
    <n v="27"/>
    <x v="1"/>
    <x v="1"/>
  </r>
  <r>
    <x v="51"/>
    <x v="5"/>
    <x v="1"/>
    <n v="3"/>
    <n v="3.25"/>
    <n v="9.75"/>
    <x v="2"/>
    <x v="1"/>
  </r>
  <r>
    <x v="51"/>
    <x v="4"/>
    <x v="0"/>
    <n v="2"/>
    <n v="5.5"/>
    <n v="11"/>
    <x v="2"/>
    <x v="1"/>
  </r>
  <r>
    <x v="51"/>
    <x v="1"/>
    <x v="1"/>
    <n v="1"/>
    <n v="3.75"/>
    <n v="3.75"/>
    <x v="2"/>
    <x v="1"/>
  </r>
  <r>
    <x v="52"/>
    <x v="3"/>
    <x v="2"/>
    <n v="4"/>
    <n v="6.5"/>
    <n v="26"/>
    <x v="3"/>
    <x v="1"/>
  </r>
  <r>
    <x v="52"/>
    <x v="2"/>
    <x v="0"/>
    <n v="5"/>
    <n v="3.5"/>
    <n v="17.5"/>
    <x v="3"/>
    <x v="1"/>
  </r>
  <r>
    <x v="52"/>
    <x v="9"/>
    <x v="0"/>
    <n v="1"/>
    <n v="4.25"/>
    <n v="4.25"/>
    <x v="3"/>
    <x v="1"/>
  </r>
  <r>
    <x v="53"/>
    <x v="8"/>
    <x v="0"/>
    <n v="3"/>
    <n v="4.75"/>
    <n v="14.25"/>
    <x v="4"/>
    <x v="1"/>
  </r>
  <r>
    <x v="53"/>
    <x v="6"/>
    <x v="0"/>
    <n v="3"/>
    <n v="4.5"/>
    <n v="13.5"/>
    <x v="4"/>
    <x v="1"/>
  </r>
  <r>
    <x v="53"/>
    <x v="7"/>
    <x v="1"/>
    <n v="7"/>
    <n v="2.5"/>
    <n v="17.5"/>
    <x v="4"/>
    <x v="1"/>
  </r>
  <r>
    <x v="54"/>
    <x v="0"/>
    <x v="0"/>
    <n v="2"/>
    <n v="4.5"/>
    <n v="9"/>
    <x v="5"/>
    <x v="1"/>
  </r>
  <r>
    <x v="54"/>
    <x v="5"/>
    <x v="1"/>
    <n v="4"/>
    <n v="3.25"/>
    <n v="13"/>
    <x v="5"/>
    <x v="1"/>
  </r>
  <r>
    <x v="54"/>
    <x v="4"/>
    <x v="0"/>
    <n v="1"/>
    <n v="5.5"/>
    <n v="5.5"/>
    <x v="5"/>
    <x v="1"/>
  </r>
  <r>
    <x v="55"/>
    <x v="1"/>
    <x v="1"/>
    <n v="4"/>
    <n v="3.75"/>
    <n v="15"/>
    <x v="6"/>
    <x v="1"/>
  </r>
  <r>
    <x v="55"/>
    <x v="3"/>
    <x v="2"/>
    <n v="2"/>
    <n v="6.5"/>
    <n v="13"/>
    <x v="6"/>
    <x v="1"/>
  </r>
  <r>
    <x v="55"/>
    <x v="2"/>
    <x v="0"/>
    <n v="3"/>
    <n v="3.5"/>
    <n v="10.5"/>
    <x v="6"/>
    <x v="1"/>
  </r>
  <r>
    <x v="56"/>
    <x v="9"/>
    <x v="0"/>
    <n v="5"/>
    <n v="4.25"/>
    <n v="21.25"/>
    <x v="0"/>
    <x v="1"/>
  </r>
  <r>
    <x v="56"/>
    <x v="8"/>
    <x v="0"/>
    <n v="1"/>
    <n v="4.75"/>
    <n v="4.75"/>
    <x v="0"/>
    <x v="1"/>
  </r>
  <r>
    <x v="56"/>
    <x v="6"/>
    <x v="0"/>
    <n v="4"/>
    <n v="4.5"/>
    <n v="18"/>
    <x v="0"/>
    <x v="1"/>
  </r>
  <r>
    <x v="57"/>
    <x v="7"/>
    <x v="1"/>
    <n v="9"/>
    <n v="2.5"/>
    <n v="22.5"/>
    <x v="1"/>
    <x v="1"/>
  </r>
  <r>
    <x v="57"/>
    <x v="0"/>
    <x v="0"/>
    <n v="3"/>
    <n v="4.5"/>
    <n v="13.5"/>
    <x v="1"/>
    <x v="1"/>
  </r>
  <r>
    <x v="57"/>
    <x v="5"/>
    <x v="1"/>
    <n v="1"/>
    <n v="3.25"/>
    <n v="3.25"/>
    <x v="1"/>
    <x v="1"/>
  </r>
  <r>
    <x v="58"/>
    <x v="4"/>
    <x v="0"/>
    <n v="3"/>
    <n v="5.5"/>
    <n v="16.5"/>
    <x v="2"/>
    <x v="1"/>
  </r>
  <r>
    <x v="58"/>
    <x v="1"/>
    <x v="1"/>
    <n v="2"/>
    <n v="3.75"/>
    <n v="7.5"/>
    <x v="2"/>
    <x v="1"/>
  </r>
  <r>
    <x v="58"/>
    <x v="3"/>
    <x v="2"/>
    <n v="5"/>
    <n v="6.5"/>
    <n v="32.5"/>
    <x v="2"/>
    <x v="1"/>
  </r>
  <r>
    <x v="59"/>
    <x v="2"/>
    <x v="0"/>
    <n v="2"/>
    <n v="3.5"/>
    <n v="7"/>
    <x v="3"/>
    <x v="2"/>
  </r>
  <r>
    <x v="59"/>
    <x v="9"/>
    <x v="0"/>
    <n v="3"/>
    <n v="4.25"/>
    <n v="12.75"/>
    <x v="3"/>
    <x v="2"/>
  </r>
  <r>
    <x v="59"/>
    <x v="8"/>
    <x v="0"/>
    <n v="4"/>
    <n v="4.75"/>
    <n v="19"/>
    <x v="3"/>
    <x v="2"/>
  </r>
  <r>
    <x v="60"/>
    <x v="6"/>
    <x v="0"/>
    <n v="1"/>
    <n v="4.5"/>
    <n v="4.5"/>
    <x v="4"/>
    <x v="2"/>
  </r>
  <r>
    <x v="60"/>
    <x v="7"/>
    <x v="1"/>
    <n v="11"/>
    <n v="2.5"/>
    <n v="27.5"/>
    <x v="4"/>
    <x v="2"/>
  </r>
  <r>
    <x v="60"/>
    <x v="0"/>
    <x v="0"/>
    <n v="5"/>
    <n v="4.5"/>
    <n v="22.5"/>
    <x v="4"/>
    <x v="2"/>
  </r>
  <r>
    <x v="61"/>
    <x v="5"/>
    <x v="1"/>
    <n v="2"/>
    <n v="3.25"/>
    <n v="6.5"/>
    <x v="5"/>
    <x v="2"/>
  </r>
  <r>
    <x v="61"/>
    <x v="4"/>
    <x v="0"/>
    <n v="4"/>
    <n v="5.5"/>
    <n v="22"/>
    <x v="5"/>
    <x v="2"/>
  </r>
  <r>
    <x v="61"/>
    <x v="1"/>
    <x v="1"/>
    <n v="3"/>
    <n v="3.75"/>
    <n v="11.25"/>
    <x v="5"/>
    <x v="2"/>
  </r>
  <r>
    <x v="62"/>
    <x v="3"/>
    <x v="2"/>
    <n v="1"/>
    <n v="6.5"/>
    <n v="6.5"/>
    <x v="6"/>
    <x v="2"/>
  </r>
  <r>
    <x v="62"/>
    <x v="2"/>
    <x v="0"/>
    <n v="4"/>
    <n v="3.5"/>
    <n v="14"/>
    <x v="6"/>
    <x v="2"/>
  </r>
  <r>
    <x v="62"/>
    <x v="9"/>
    <x v="0"/>
    <n v="2"/>
    <n v="4.25"/>
    <n v="8.5"/>
    <x v="6"/>
    <x v="2"/>
  </r>
  <r>
    <x v="63"/>
    <x v="8"/>
    <x v="0"/>
    <n v="3"/>
    <n v="4.75"/>
    <n v="14.25"/>
    <x v="0"/>
    <x v="2"/>
  </r>
  <r>
    <x v="63"/>
    <x v="6"/>
    <x v="0"/>
    <n v="5"/>
    <n v="4.5"/>
    <n v="22.5"/>
    <x v="0"/>
    <x v="2"/>
  </r>
  <r>
    <x v="63"/>
    <x v="7"/>
    <x v="1"/>
    <n v="6"/>
    <n v="2.5"/>
    <n v="15"/>
    <x v="0"/>
    <x v="2"/>
  </r>
  <r>
    <x v="64"/>
    <x v="0"/>
    <x v="0"/>
    <n v="2"/>
    <n v="4.5"/>
    <n v="9"/>
    <x v="1"/>
    <x v="2"/>
  </r>
  <r>
    <x v="64"/>
    <x v="5"/>
    <x v="1"/>
    <n v="5"/>
    <n v="3.25"/>
    <n v="16.25"/>
    <x v="1"/>
    <x v="2"/>
  </r>
  <r>
    <x v="64"/>
    <x v="4"/>
    <x v="0"/>
    <n v="2"/>
    <n v="5.5"/>
    <n v="11"/>
    <x v="1"/>
    <x v="2"/>
  </r>
  <r>
    <x v="65"/>
    <x v="1"/>
    <x v="1"/>
    <n v="4"/>
    <n v="3.75"/>
    <n v="15"/>
    <x v="2"/>
    <x v="2"/>
  </r>
  <r>
    <x v="65"/>
    <x v="3"/>
    <x v="2"/>
    <n v="3"/>
    <n v="6.5"/>
    <n v="19.5"/>
    <x v="2"/>
    <x v="2"/>
  </r>
  <r>
    <x v="65"/>
    <x v="2"/>
    <x v="0"/>
    <n v="1"/>
    <n v="3.5"/>
    <n v="3.5"/>
    <x v="2"/>
    <x v="2"/>
  </r>
  <r>
    <x v="66"/>
    <x v="9"/>
    <x v="0"/>
    <n v="4"/>
    <n v="4.25"/>
    <n v="17"/>
    <x v="3"/>
    <x v="2"/>
  </r>
  <r>
    <x v="66"/>
    <x v="8"/>
    <x v="0"/>
    <n v="5"/>
    <n v="4.75"/>
    <n v="23.75"/>
    <x v="3"/>
    <x v="2"/>
  </r>
  <r>
    <x v="66"/>
    <x v="6"/>
    <x v="0"/>
    <n v="2"/>
    <n v="4.5"/>
    <n v="9"/>
    <x v="3"/>
    <x v="2"/>
  </r>
  <r>
    <x v="67"/>
    <x v="7"/>
    <x v="1"/>
    <n v="8"/>
    <n v="2.5"/>
    <n v="20"/>
    <x v="4"/>
    <x v="2"/>
  </r>
  <r>
    <x v="67"/>
    <x v="0"/>
    <x v="0"/>
    <n v="1"/>
    <n v="4.5"/>
    <n v="4.5"/>
    <x v="4"/>
    <x v="2"/>
  </r>
  <r>
    <x v="67"/>
    <x v="5"/>
    <x v="1"/>
    <n v="3"/>
    <n v="3.25"/>
    <n v="9.75"/>
    <x v="4"/>
    <x v="2"/>
  </r>
  <r>
    <x v="68"/>
    <x v="4"/>
    <x v="0"/>
    <n v="5"/>
    <n v="5.5"/>
    <n v="27.5"/>
    <x v="5"/>
    <x v="2"/>
  </r>
  <r>
    <x v="68"/>
    <x v="1"/>
    <x v="1"/>
    <n v="2"/>
    <n v="3.75"/>
    <n v="7.5"/>
    <x v="5"/>
    <x v="2"/>
  </r>
  <r>
    <x v="68"/>
    <x v="3"/>
    <x v="2"/>
    <n v="4"/>
    <n v="6.5"/>
    <n v="26"/>
    <x v="5"/>
    <x v="2"/>
  </r>
  <r>
    <x v="69"/>
    <x v="2"/>
    <x v="0"/>
    <n v="3"/>
    <n v="3.5"/>
    <n v="10.5"/>
    <x v="6"/>
    <x v="2"/>
  </r>
  <r>
    <x v="69"/>
    <x v="9"/>
    <x v="0"/>
    <n v="2"/>
    <n v="4.25"/>
    <n v="8.5"/>
    <x v="6"/>
    <x v="2"/>
  </r>
  <r>
    <x v="69"/>
    <x v="8"/>
    <x v="0"/>
    <n v="1"/>
    <n v="4.75"/>
    <n v="4.75"/>
    <x v="6"/>
    <x v="2"/>
  </r>
  <r>
    <x v="70"/>
    <x v="6"/>
    <x v="0"/>
    <n v="4"/>
    <n v="4.5"/>
    <n v="18"/>
    <x v="0"/>
    <x v="2"/>
  </r>
  <r>
    <x v="70"/>
    <x v="7"/>
    <x v="1"/>
    <n v="10"/>
    <n v="2.5"/>
    <n v="25"/>
    <x v="0"/>
    <x v="2"/>
  </r>
  <r>
    <x v="70"/>
    <x v="0"/>
    <x v="0"/>
    <n v="4"/>
    <n v="4.5"/>
    <n v="18"/>
    <x v="0"/>
    <x v="2"/>
  </r>
  <r>
    <x v="71"/>
    <x v="5"/>
    <x v="1"/>
    <n v="2"/>
    <n v="3.25"/>
    <n v="6.5"/>
    <x v="1"/>
    <x v="2"/>
  </r>
  <r>
    <x v="71"/>
    <x v="4"/>
    <x v="0"/>
    <n v="3"/>
    <n v="5.5"/>
    <n v="16.5"/>
    <x v="1"/>
    <x v="2"/>
  </r>
  <r>
    <x v="71"/>
    <x v="1"/>
    <x v="1"/>
    <n v="5"/>
    <n v="3.75"/>
    <n v="18.75"/>
    <x v="1"/>
    <x v="2"/>
  </r>
  <r>
    <x v="72"/>
    <x v="3"/>
    <x v="2"/>
    <n v="2"/>
    <n v="6.5"/>
    <n v="13"/>
    <x v="2"/>
    <x v="2"/>
  </r>
  <r>
    <x v="72"/>
    <x v="2"/>
    <x v="0"/>
    <n v="5"/>
    <n v="3.5"/>
    <n v="17.5"/>
    <x v="2"/>
    <x v="2"/>
  </r>
  <r>
    <x v="72"/>
    <x v="9"/>
    <x v="0"/>
    <n v="3"/>
    <n v="4.25"/>
    <n v="12.75"/>
    <x v="2"/>
    <x v="2"/>
  </r>
  <r>
    <x v="73"/>
    <x v="8"/>
    <x v="0"/>
    <n v="2"/>
    <n v="4.75"/>
    <n v="9.5"/>
    <x v="3"/>
    <x v="2"/>
  </r>
  <r>
    <x v="73"/>
    <x v="6"/>
    <x v="0"/>
    <n v="3"/>
    <n v="4.5"/>
    <n v="13.5"/>
    <x v="3"/>
    <x v="2"/>
  </r>
  <r>
    <x v="73"/>
    <x v="7"/>
    <x v="1"/>
    <n v="5"/>
    <n v="2.5"/>
    <n v="12.5"/>
    <x v="3"/>
    <x v="2"/>
  </r>
  <r>
    <x v="74"/>
    <x v="0"/>
    <x v="0"/>
    <n v="3"/>
    <n v="4.5"/>
    <n v="13.5"/>
    <x v="4"/>
    <x v="2"/>
  </r>
  <r>
    <x v="74"/>
    <x v="5"/>
    <x v="1"/>
    <n v="4"/>
    <n v="3.25"/>
    <n v="13"/>
    <x v="4"/>
    <x v="2"/>
  </r>
  <r>
    <x v="74"/>
    <x v="4"/>
    <x v="0"/>
    <n v="1"/>
    <n v="5.5"/>
    <n v="5.5"/>
    <x v="4"/>
    <x v="2"/>
  </r>
  <r>
    <x v="75"/>
    <x v="1"/>
    <x v="1"/>
    <n v="3"/>
    <n v="3.75"/>
    <n v="11.25"/>
    <x v="5"/>
    <x v="2"/>
  </r>
  <r>
    <x v="75"/>
    <x v="3"/>
    <x v="2"/>
    <n v="5"/>
    <n v="6.5"/>
    <n v="32.5"/>
    <x v="5"/>
    <x v="2"/>
  </r>
  <r>
    <x v="75"/>
    <x v="2"/>
    <x v="0"/>
    <n v="2"/>
    <n v="3.5"/>
    <n v="7"/>
    <x v="5"/>
    <x v="2"/>
  </r>
  <r>
    <x v="76"/>
    <x v="9"/>
    <x v="0"/>
    <n v="1"/>
    <n v="4.25"/>
    <n v="4.25"/>
    <x v="6"/>
    <x v="2"/>
  </r>
  <r>
    <x v="76"/>
    <x v="8"/>
    <x v="0"/>
    <n v="4"/>
    <n v="4.75"/>
    <n v="19"/>
    <x v="6"/>
    <x v="2"/>
  </r>
  <r>
    <x v="76"/>
    <x v="6"/>
    <x v="0"/>
    <n v="2"/>
    <n v="4.5"/>
    <n v="9"/>
    <x v="6"/>
    <x v="2"/>
  </r>
  <r>
    <x v="77"/>
    <x v="7"/>
    <x v="1"/>
    <n v="12"/>
    <n v="2.5"/>
    <n v="30"/>
    <x v="0"/>
    <x v="2"/>
  </r>
  <r>
    <x v="77"/>
    <x v="0"/>
    <x v="0"/>
    <n v="1"/>
    <n v="4.5"/>
    <n v="4.5"/>
    <x v="0"/>
    <x v="2"/>
  </r>
  <r>
    <x v="77"/>
    <x v="5"/>
    <x v="1"/>
    <n v="3"/>
    <n v="3.25"/>
    <n v="9.75"/>
    <x v="0"/>
    <x v="2"/>
  </r>
  <r>
    <x v="78"/>
    <x v="4"/>
    <x v="0"/>
    <n v="5"/>
    <n v="5.5"/>
    <n v="27.5"/>
    <x v="1"/>
    <x v="2"/>
  </r>
  <r>
    <x v="78"/>
    <x v="1"/>
    <x v="1"/>
    <n v="2"/>
    <n v="3.75"/>
    <n v="7.5"/>
    <x v="1"/>
    <x v="2"/>
  </r>
  <r>
    <x v="78"/>
    <x v="3"/>
    <x v="2"/>
    <n v="3"/>
    <n v="6.5"/>
    <n v="19.5"/>
    <x v="1"/>
    <x v="2"/>
  </r>
  <r>
    <x v="79"/>
    <x v="2"/>
    <x v="0"/>
    <n v="4"/>
    <n v="3.5"/>
    <n v="14"/>
    <x v="2"/>
    <x v="2"/>
  </r>
  <r>
    <x v="79"/>
    <x v="9"/>
    <x v="0"/>
    <n v="5"/>
    <n v="4.25"/>
    <n v="21.25"/>
    <x v="2"/>
    <x v="2"/>
  </r>
  <r>
    <x v="79"/>
    <x v="8"/>
    <x v="0"/>
    <n v="3"/>
    <n v="4.75"/>
    <n v="14.25"/>
    <x v="2"/>
    <x v="2"/>
  </r>
  <r>
    <x v="80"/>
    <x v="6"/>
    <x v="0"/>
    <n v="1"/>
    <n v="4.5"/>
    <n v="4.5"/>
    <x v="3"/>
    <x v="2"/>
  </r>
  <r>
    <x v="80"/>
    <x v="7"/>
    <x v="1"/>
    <n v="7"/>
    <n v="2.5"/>
    <n v="17.5"/>
    <x v="3"/>
    <x v="2"/>
  </r>
  <r>
    <x v="80"/>
    <x v="0"/>
    <x v="0"/>
    <n v="5"/>
    <n v="4.5"/>
    <n v="22.5"/>
    <x v="3"/>
    <x v="2"/>
  </r>
  <r>
    <x v="81"/>
    <x v="5"/>
    <x v="1"/>
    <n v="2"/>
    <n v="3.25"/>
    <n v="6.5"/>
    <x v="4"/>
    <x v="2"/>
  </r>
  <r>
    <x v="81"/>
    <x v="4"/>
    <x v="0"/>
    <n v="2"/>
    <n v="5.5"/>
    <n v="11"/>
    <x v="4"/>
    <x v="2"/>
  </r>
  <r>
    <x v="81"/>
    <x v="1"/>
    <x v="1"/>
    <n v="4"/>
    <n v="3.75"/>
    <n v="15"/>
    <x v="4"/>
    <x v="2"/>
  </r>
  <r>
    <x v="82"/>
    <x v="3"/>
    <x v="2"/>
    <n v="1"/>
    <n v="6.5"/>
    <n v="6.5"/>
    <x v="5"/>
    <x v="2"/>
  </r>
  <r>
    <x v="82"/>
    <x v="2"/>
    <x v="0"/>
    <n v="3"/>
    <n v="3.5"/>
    <n v="10.5"/>
    <x v="5"/>
    <x v="2"/>
  </r>
  <r>
    <x v="82"/>
    <x v="9"/>
    <x v="0"/>
    <n v="2"/>
    <n v="4.25"/>
    <n v="8.5"/>
    <x v="5"/>
    <x v="2"/>
  </r>
  <r>
    <x v="83"/>
    <x v="8"/>
    <x v="0"/>
    <n v="5"/>
    <n v="4.75"/>
    <n v="23.75"/>
    <x v="6"/>
    <x v="2"/>
  </r>
  <r>
    <x v="83"/>
    <x v="6"/>
    <x v="0"/>
    <n v="4"/>
    <n v="4.5"/>
    <n v="18"/>
    <x v="6"/>
    <x v="2"/>
  </r>
  <r>
    <x v="83"/>
    <x v="7"/>
    <x v="1"/>
    <n v="9"/>
    <n v="2.5"/>
    <n v="22.5"/>
    <x v="6"/>
    <x v="2"/>
  </r>
  <r>
    <x v="84"/>
    <x v="0"/>
    <x v="0"/>
    <n v="2"/>
    <n v="4.5"/>
    <n v="9"/>
    <x v="0"/>
    <x v="2"/>
  </r>
  <r>
    <x v="84"/>
    <x v="5"/>
    <x v="1"/>
    <n v="4"/>
    <n v="3.25"/>
    <n v="13"/>
    <x v="0"/>
    <x v="2"/>
  </r>
  <r>
    <x v="84"/>
    <x v="4"/>
    <x v="0"/>
    <n v="3"/>
    <n v="5.5"/>
    <n v="16.5"/>
    <x v="0"/>
    <x v="2"/>
  </r>
  <r>
    <x v="85"/>
    <x v="1"/>
    <x v="1"/>
    <n v="1"/>
    <n v="3.75"/>
    <n v="3.75"/>
    <x v="1"/>
    <x v="2"/>
  </r>
  <r>
    <x v="85"/>
    <x v="3"/>
    <x v="2"/>
    <n v="4"/>
    <n v="6.5"/>
    <n v="26"/>
    <x v="1"/>
    <x v="2"/>
  </r>
  <r>
    <x v="85"/>
    <x v="2"/>
    <x v="0"/>
    <n v="6"/>
    <n v="3.5"/>
    <n v="21"/>
    <x v="1"/>
    <x v="2"/>
  </r>
  <r>
    <x v="86"/>
    <x v="9"/>
    <x v="0"/>
    <n v="3"/>
    <n v="4.25"/>
    <n v="12.75"/>
    <x v="2"/>
    <x v="2"/>
  </r>
  <r>
    <x v="86"/>
    <x v="8"/>
    <x v="0"/>
    <n v="2"/>
    <n v="4.75"/>
    <n v="9.5"/>
    <x v="2"/>
    <x v="2"/>
  </r>
  <r>
    <x v="86"/>
    <x v="6"/>
    <x v="0"/>
    <n v="3"/>
    <n v="4.5"/>
    <n v="13.5"/>
    <x v="2"/>
    <x v="2"/>
  </r>
  <r>
    <x v="87"/>
    <x v="7"/>
    <x v="1"/>
    <n v="6"/>
    <n v="2.5"/>
    <n v="15"/>
    <x v="3"/>
    <x v="2"/>
  </r>
  <r>
    <x v="87"/>
    <x v="0"/>
    <x v="0"/>
    <n v="4"/>
    <n v="4.5"/>
    <n v="18"/>
    <x v="3"/>
    <x v="2"/>
  </r>
  <r>
    <x v="87"/>
    <x v="5"/>
    <x v="1"/>
    <n v="1"/>
    <n v="3.25"/>
    <n v="3.25"/>
    <x v="3"/>
    <x v="2"/>
  </r>
  <r>
    <x v="88"/>
    <x v="4"/>
    <x v="0"/>
    <n v="4"/>
    <n v="5.5"/>
    <n v="22"/>
    <x v="4"/>
    <x v="2"/>
  </r>
  <r>
    <x v="88"/>
    <x v="1"/>
    <x v="1"/>
    <n v="3"/>
    <n v="3.75"/>
    <n v="11.25"/>
    <x v="4"/>
    <x v="2"/>
  </r>
  <r>
    <x v="88"/>
    <x v="3"/>
    <x v="2"/>
    <n v="2"/>
    <n v="6.5"/>
    <n v="13"/>
    <x v="4"/>
    <x v="2"/>
  </r>
  <r>
    <x v="89"/>
    <x v="2"/>
    <x v="0"/>
    <n v="1"/>
    <n v="3.5"/>
    <n v="3.5"/>
    <x v="5"/>
    <x v="2"/>
  </r>
  <r>
    <x v="89"/>
    <x v="9"/>
    <x v="0"/>
    <n v="4"/>
    <n v="4.25"/>
    <n v="17"/>
    <x v="5"/>
    <x v="2"/>
  </r>
  <r>
    <x v="89"/>
    <x v="8"/>
    <x v="0"/>
    <n v="3"/>
    <n v="4.75"/>
    <n v="14.25"/>
    <x v="5"/>
    <x v="2"/>
  </r>
  <r>
    <x v="90"/>
    <x v="6"/>
    <x v="0"/>
    <n v="2"/>
    <n v="4.5"/>
    <n v="9"/>
    <x v="6"/>
    <x v="3"/>
  </r>
  <r>
    <x v="90"/>
    <x v="7"/>
    <x v="1"/>
    <n v="5"/>
    <n v="2.5"/>
    <n v="12.5"/>
    <x v="6"/>
    <x v="3"/>
  </r>
  <r>
    <x v="90"/>
    <x v="0"/>
    <x v="0"/>
    <n v="4"/>
    <n v="4.5"/>
    <n v="18"/>
    <x v="6"/>
    <x v="3"/>
  </r>
  <r>
    <x v="91"/>
    <x v="5"/>
    <x v="1"/>
    <n v="2"/>
    <n v="3.25"/>
    <n v="6.5"/>
    <x v="0"/>
    <x v="3"/>
  </r>
  <r>
    <x v="91"/>
    <x v="4"/>
    <x v="0"/>
    <n v="3"/>
    <n v="5.5"/>
    <n v="16.5"/>
    <x v="0"/>
    <x v="3"/>
  </r>
  <r>
    <x v="91"/>
    <x v="1"/>
    <x v="1"/>
    <n v="1"/>
    <n v="3.75"/>
    <n v="3.75"/>
    <x v="0"/>
    <x v="3"/>
  </r>
  <r>
    <x v="92"/>
    <x v="3"/>
    <x v="2"/>
    <n v="4"/>
    <n v="6.5"/>
    <n v="26"/>
    <x v="1"/>
    <x v="3"/>
  </r>
  <r>
    <x v="92"/>
    <x v="2"/>
    <x v="0"/>
    <n v="5"/>
    <n v="3.5"/>
    <n v="17.5"/>
    <x v="1"/>
    <x v="3"/>
  </r>
  <r>
    <x v="92"/>
    <x v="9"/>
    <x v="0"/>
    <n v="2"/>
    <n v="4.25"/>
    <n v="8.5"/>
    <x v="1"/>
    <x v="3"/>
  </r>
  <r>
    <x v="93"/>
    <x v="8"/>
    <x v="0"/>
    <n v="3"/>
    <n v="4.75"/>
    <n v="14.25"/>
    <x v="2"/>
    <x v="3"/>
  </r>
  <r>
    <x v="93"/>
    <x v="6"/>
    <x v="0"/>
    <n v="1"/>
    <n v="4.5"/>
    <n v="4.5"/>
    <x v="2"/>
    <x v="3"/>
  </r>
  <r>
    <x v="93"/>
    <x v="7"/>
    <x v="1"/>
    <n v="11"/>
    <n v="2.5"/>
    <n v="27.5"/>
    <x v="2"/>
    <x v="3"/>
  </r>
  <r>
    <x v="94"/>
    <x v="0"/>
    <x v="0"/>
    <n v="3"/>
    <n v="4.5"/>
    <n v="13.5"/>
    <x v="3"/>
    <x v="3"/>
  </r>
  <r>
    <x v="94"/>
    <x v="5"/>
    <x v="1"/>
    <n v="5"/>
    <n v="3.25"/>
    <n v="16.25"/>
    <x v="3"/>
    <x v="3"/>
  </r>
  <r>
    <x v="94"/>
    <x v="4"/>
    <x v="0"/>
    <n v="4"/>
    <n v="5.5"/>
    <n v="22"/>
    <x v="3"/>
    <x v="3"/>
  </r>
  <r>
    <x v="95"/>
    <x v="1"/>
    <x v="1"/>
    <n v="2"/>
    <n v="3.75"/>
    <n v="7.5"/>
    <x v="4"/>
    <x v="3"/>
  </r>
  <r>
    <x v="95"/>
    <x v="3"/>
    <x v="2"/>
    <n v="1"/>
    <n v="6.5"/>
    <n v="6.5"/>
    <x v="4"/>
    <x v="3"/>
  </r>
  <r>
    <x v="95"/>
    <x v="2"/>
    <x v="0"/>
    <n v="4"/>
    <n v="3.5"/>
    <n v="14"/>
    <x v="4"/>
    <x v="3"/>
  </r>
  <r>
    <x v="96"/>
    <x v="9"/>
    <x v="0"/>
    <n v="3"/>
    <n v="4.25"/>
    <n v="12.75"/>
    <x v="5"/>
    <x v="3"/>
  </r>
  <r>
    <x v="96"/>
    <x v="8"/>
    <x v="0"/>
    <n v="5"/>
    <n v="4.75"/>
    <n v="23.75"/>
    <x v="5"/>
    <x v="3"/>
  </r>
  <r>
    <x v="96"/>
    <x v="6"/>
    <x v="0"/>
    <n v="2"/>
    <n v="4.5"/>
    <n v="9"/>
    <x v="5"/>
    <x v="3"/>
  </r>
  <r>
    <x v="97"/>
    <x v="7"/>
    <x v="1"/>
    <n v="7"/>
    <n v="2.5"/>
    <n v="17.5"/>
    <x v="6"/>
    <x v="3"/>
  </r>
  <r>
    <x v="97"/>
    <x v="0"/>
    <x v="0"/>
    <n v="2"/>
    <n v="4.5"/>
    <n v="9"/>
    <x v="6"/>
    <x v="3"/>
  </r>
  <r>
    <x v="97"/>
    <x v="5"/>
    <x v="1"/>
    <n v="4"/>
    <n v="3.25"/>
    <n v="13"/>
    <x v="6"/>
    <x v="3"/>
  </r>
  <r>
    <x v="98"/>
    <x v="4"/>
    <x v="0"/>
    <n v="1"/>
    <n v="5.5"/>
    <n v="5.5"/>
    <x v="0"/>
    <x v="3"/>
  </r>
  <r>
    <x v="98"/>
    <x v="1"/>
    <x v="1"/>
    <n v="4"/>
    <n v="3.75"/>
    <n v="15"/>
    <x v="0"/>
    <x v="3"/>
  </r>
  <r>
    <x v="98"/>
    <x v="3"/>
    <x v="2"/>
    <n v="3"/>
    <n v="6.5"/>
    <n v="19.5"/>
    <x v="0"/>
    <x v="3"/>
  </r>
  <r>
    <x v="99"/>
    <x v="2"/>
    <x v="0"/>
    <n v="2"/>
    <n v="3.5"/>
    <n v="7"/>
    <x v="1"/>
    <x v="3"/>
  </r>
  <r>
    <x v="99"/>
    <x v="9"/>
    <x v="0"/>
    <n v="5"/>
    <n v="4.25"/>
    <n v="21.25"/>
    <x v="1"/>
    <x v="3"/>
  </r>
  <r>
    <x v="99"/>
    <x v="8"/>
    <x v="0"/>
    <n v="1"/>
    <n v="4.75"/>
    <n v="4.75"/>
    <x v="1"/>
    <x v="3"/>
  </r>
  <r>
    <x v="100"/>
    <x v="6"/>
    <x v="0"/>
    <n v="3"/>
    <n v="4.5"/>
    <n v="13.5"/>
    <x v="2"/>
    <x v="3"/>
  </r>
  <r>
    <x v="100"/>
    <x v="7"/>
    <x v="1"/>
    <n v="9"/>
    <n v="2.5"/>
    <n v="22.5"/>
    <x v="2"/>
    <x v="3"/>
  </r>
  <r>
    <x v="100"/>
    <x v="0"/>
    <x v="0"/>
    <n v="4"/>
    <n v="4.5"/>
    <n v="18"/>
    <x v="2"/>
    <x v="3"/>
  </r>
  <r>
    <x v="101"/>
    <x v="5"/>
    <x v="1"/>
    <n v="1"/>
    <n v="3.25"/>
    <n v="3.25"/>
    <x v="3"/>
    <x v="3"/>
  </r>
  <r>
    <x v="101"/>
    <x v="4"/>
    <x v="0"/>
    <n v="3"/>
    <n v="5.5"/>
    <n v="16.5"/>
    <x v="3"/>
    <x v="3"/>
  </r>
  <r>
    <x v="101"/>
    <x v="1"/>
    <x v="1"/>
    <n v="6"/>
    <n v="3.75"/>
    <n v="22.5"/>
    <x v="3"/>
    <x v="3"/>
  </r>
  <r>
    <x v="102"/>
    <x v="3"/>
    <x v="2"/>
    <n v="2"/>
    <n v="6.5"/>
    <n v="13"/>
    <x v="4"/>
    <x v="3"/>
  </r>
  <r>
    <x v="102"/>
    <x v="2"/>
    <x v="0"/>
    <n v="3"/>
    <n v="3.5"/>
    <n v="10.5"/>
    <x v="4"/>
    <x v="3"/>
  </r>
  <r>
    <x v="102"/>
    <x v="9"/>
    <x v="0"/>
    <n v="1"/>
    <n v="4.25"/>
    <n v="4.25"/>
    <x v="4"/>
    <x v="3"/>
  </r>
  <r>
    <x v="103"/>
    <x v="8"/>
    <x v="0"/>
    <n v="4"/>
    <n v="4.75"/>
    <n v="19"/>
    <x v="5"/>
    <x v="3"/>
  </r>
  <r>
    <x v="103"/>
    <x v="6"/>
    <x v="0"/>
    <n v="5"/>
    <n v="4.5"/>
    <n v="22.5"/>
    <x v="5"/>
    <x v="3"/>
  </r>
  <r>
    <x v="103"/>
    <x v="7"/>
    <x v="1"/>
    <n v="6"/>
    <n v="2.5"/>
    <n v="15"/>
    <x v="5"/>
    <x v="3"/>
  </r>
  <r>
    <x v="104"/>
    <x v="0"/>
    <x v="0"/>
    <n v="1"/>
    <n v="4.5"/>
    <n v="4.5"/>
    <x v="6"/>
    <x v="3"/>
  </r>
  <r>
    <x v="104"/>
    <x v="5"/>
    <x v="1"/>
    <n v="3"/>
    <n v="3.25"/>
    <n v="9.75"/>
    <x v="6"/>
    <x v="3"/>
  </r>
  <r>
    <x v="104"/>
    <x v="4"/>
    <x v="0"/>
    <n v="5"/>
    <n v="5.5"/>
    <n v="27.5"/>
    <x v="6"/>
    <x v="3"/>
  </r>
  <r>
    <x v="105"/>
    <x v="1"/>
    <x v="1"/>
    <n v="3"/>
    <n v="3.75"/>
    <n v="11.25"/>
    <x v="0"/>
    <x v="3"/>
  </r>
  <r>
    <x v="105"/>
    <x v="3"/>
    <x v="2"/>
    <n v="4"/>
    <n v="6.5"/>
    <n v="26"/>
    <x v="0"/>
    <x v="3"/>
  </r>
  <r>
    <x v="105"/>
    <x v="2"/>
    <x v="0"/>
    <n v="1"/>
    <n v="3.5"/>
    <n v="3.5"/>
    <x v="0"/>
    <x v="3"/>
  </r>
  <r>
    <x v="106"/>
    <x v="9"/>
    <x v="0"/>
    <n v="2"/>
    <n v="4.25"/>
    <n v="8.5"/>
    <x v="1"/>
    <x v="3"/>
  </r>
  <r>
    <x v="106"/>
    <x v="8"/>
    <x v="0"/>
    <n v="3"/>
    <n v="4.75"/>
    <n v="14.25"/>
    <x v="1"/>
    <x v="3"/>
  </r>
  <r>
    <x v="106"/>
    <x v="6"/>
    <x v="0"/>
    <n v="4"/>
    <n v="4.5"/>
    <n v="18"/>
    <x v="1"/>
    <x v="3"/>
  </r>
  <r>
    <x v="107"/>
    <x v="7"/>
    <x v="1"/>
    <n v="10"/>
    <n v="2.5"/>
    <n v="25"/>
    <x v="2"/>
    <x v="3"/>
  </r>
  <r>
    <x v="107"/>
    <x v="0"/>
    <x v="0"/>
    <n v="5"/>
    <n v="4.5"/>
    <n v="22.5"/>
    <x v="2"/>
    <x v="3"/>
  </r>
  <r>
    <x v="107"/>
    <x v="5"/>
    <x v="1"/>
    <n v="2"/>
    <n v="3.25"/>
    <n v="6.5"/>
    <x v="2"/>
    <x v="3"/>
  </r>
  <r>
    <x v="108"/>
    <x v="4"/>
    <x v="0"/>
    <n v="4"/>
    <n v="5.5"/>
    <n v="22"/>
    <x v="3"/>
    <x v="3"/>
  </r>
  <r>
    <x v="108"/>
    <x v="1"/>
    <x v="1"/>
    <n v="1"/>
    <n v="3.75"/>
    <n v="3.75"/>
    <x v="3"/>
    <x v="3"/>
  </r>
  <r>
    <x v="108"/>
    <x v="3"/>
    <x v="2"/>
    <n v="5"/>
    <n v="6.5"/>
    <n v="32.5"/>
    <x v="3"/>
    <x v="3"/>
  </r>
  <r>
    <x v="109"/>
    <x v="2"/>
    <x v="0"/>
    <n v="3"/>
    <n v="3.5"/>
    <n v="10.5"/>
    <x v="4"/>
    <x v="3"/>
  </r>
  <r>
    <x v="109"/>
    <x v="9"/>
    <x v="0"/>
    <n v="4"/>
    <n v="4.25"/>
    <n v="17"/>
    <x v="4"/>
    <x v="3"/>
  </r>
  <r>
    <x v="109"/>
    <x v="8"/>
    <x v="0"/>
    <n v="2"/>
    <n v="4.75"/>
    <n v="9.5"/>
    <x v="4"/>
    <x v="3"/>
  </r>
  <r>
    <x v="110"/>
    <x v="6"/>
    <x v="0"/>
    <n v="1"/>
    <n v="4.5"/>
    <n v="4.5"/>
    <x v="5"/>
    <x v="3"/>
  </r>
  <r>
    <x v="110"/>
    <x v="7"/>
    <x v="1"/>
    <n v="8"/>
    <n v="2.5"/>
    <n v="20"/>
    <x v="5"/>
    <x v="3"/>
  </r>
  <r>
    <x v="110"/>
    <x v="0"/>
    <x v="0"/>
    <n v="2"/>
    <n v="4.5"/>
    <n v="9"/>
    <x v="5"/>
    <x v="3"/>
  </r>
  <r>
    <x v="111"/>
    <x v="5"/>
    <x v="1"/>
    <n v="4"/>
    <n v="3.25"/>
    <n v="13"/>
    <x v="6"/>
    <x v="3"/>
  </r>
  <r>
    <x v="111"/>
    <x v="4"/>
    <x v="0"/>
    <n v="2"/>
    <n v="5.5"/>
    <n v="11"/>
    <x v="6"/>
    <x v="3"/>
  </r>
  <r>
    <x v="111"/>
    <x v="1"/>
    <x v="1"/>
    <n v="5"/>
    <n v="3.75"/>
    <n v="18.75"/>
    <x v="6"/>
    <x v="3"/>
  </r>
  <r>
    <x v="112"/>
    <x v="3"/>
    <x v="2"/>
    <n v="3"/>
    <n v="6.5"/>
    <n v="19.5"/>
    <x v="0"/>
    <x v="3"/>
  </r>
  <r>
    <x v="112"/>
    <x v="2"/>
    <x v="0"/>
    <n v="4"/>
    <n v="3.5"/>
    <n v="14"/>
    <x v="0"/>
    <x v="3"/>
  </r>
  <r>
    <x v="112"/>
    <x v="9"/>
    <x v="0"/>
    <n v="3"/>
    <n v="4.25"/>
    <n v="12.75"/>
    <x v="0"/>
    <x v="3"/>
  </r>
  <r>
    <x v="113"/>
    <x v="8"/>
    <x v="0"/>
    <n v="5"/>
    <n v="4.75"/>
    <n v="23.75"/>
    <x v="1"/>
    <x v="3"/>
  </r>
  <r>
    <x v="113"/>
    <x v="6"/>
    <x v="0"/>
    <n v="2"/>
    <n v="4.5"/>
    <n v="9"/>
    <x v="1"/>
    <x v="3"/>
  </r>
  <r>
    <x v="113"/>
    <x v="7"/>
    <x v="1"/>
    <n v="5"/>
    <n v="2.5"/>
    <n v="12.5"/>
    <x v="1"/>
    <x v="3"/>
  </r>
  <r>
    <x v="114"/>
    <x v="0"/>
    <x v="0"/>
    <n v="1"/>
    <n v="4.5"/>
    <n v="4.5"/>
    <x v="2"/>
    <x v="3"/>
  </r>
  <r>
    <x v="114"/>
    <x v="5"/>
    <x v="1"/>
    <n v="3"/>
    <n v="3.25"/>
    <n v="9.75"/>
    <x v="2"/>
    <x v="3"/>
  </r>
  <r>
    <x v="114"/>
    <x v="4"/>
    <x v="0"/>
    <n v="4"/>
    <n v="5.5"/>
    <n v="22"/>
    <x v="2"/>
    <x v="3"/>
  </r>
  <r>
    <x v="115"/>
    <x v="1"/>
    <x v="1"/>
    <n v="2"/>
    <n v="3.75"/>
    <n v="7.5"/>
    <x v="3"/>
    <x v="3"/>
  </r>
  <r>
    <x v="115"/>
    <x v="3"/>
    <x v="2"/>
    <n v="4"/>
    <n v="6.5"/>
    <n v="26"/>
    <x v="3"/>
    <x v="3"/>
  </r>
  <r>
    <x v="115"/>
    <x v="2"/>
    <x v="0"/>
    <n v="5"/>
    <n v="3.5"/>
    <n v="17.5"/>
    <x v="3"/>
    <x v="3"/>
  </r>
  <r>
    <x v="116"/>
    <x v="9"/>
    <x v="0"/>
    <n v="1"/>
    <n v="4.25"/>
    <n v="4.25"/>
    <x v="4"/>
    <x v="3"/>
  </r>
  <r>
    <x v="116"/>
    <x v="8"/>
    <x v="0"/>
    <n v="3"/>
    <n v="4.75"/>
    <n v="14.25"/>
    <x v="4"/>
    <x v="3"/>
  </r>
  <r>
    <x v="116"/>
    <x v="6"/>
    <x v="0"/>
    <n v="3"/>
    <n v="4.5"/>
    <n v="13.5"/>
    <x v="4"/>
    <x v="3"/>
  </r>
  <r>
    <x v="117"/>
    <x v="7"/>
    <x v="1"/>
    <n v="12"/>
    <n v="2.5"/>
    <n v="30"/>
    <x v="5"/>
    <x v="3"/>
  </r>
  <r>
    <x v="117"/>
    <x v="0"/>
    <x v="0"/>
    <n v="4"/>
    <n v="4.5"/>
    <n v="18"/>
    <x v="5"/>
    <x v="3"/>
  </r>
  <r>
    <x v="117"/>
    <x v="5"/>
    <x v="1"/>
    <n v="2"/>
    <n v="3.25"/>
    <n v="6.5"/>
    <x v="5"/>
    <x v="3"/>
  </r>
  <r>
    <x v="118"/>
    <x v="4"/>
    <x v="0"/>
    <n v="3"/>
    <n v="5.5"/>
    <n v="16.5"/>
    <x v="6"/>
    <x v="3"/>
  </r>
  <r>
    <x v="118"/>
    <x v="1"/>
    <x v="1"/>
    <n v="4"/>
    <n v="3.75"/>
    <n v="15"/>
    <x v="6"/>
    <x v="3"/>
  </r>
  <r>
    <x v="118"/>
    <x v="3"/>
    <x v="2"/>
    <n v="1"/>
    <n v="6.5"/>
    <n v="6.5"/>
    <x v="6"/>
    <x v="3"/>
  </r>
  <r>
    <x v="119"/>
    <x v="2"/>
    <x v="0"/>
    <n v="2"/>
    <n v="3.5"/>
    <n v="7"/>
    <x v="0"/>
    <x v="3"/>
  </r>
  <r>
    <x v="119"/>
    <x v="9"/>
    <x v="0"/>
    <n v="5"/>
    <n v="4.25"/>
    <n v="21.25"/>
    <x v="0"/>
    <x v="3"/>
  </r>
  <r>
    <x v="119"/>
    <x v="8"/>
    <x v="0"/>
    <n v="4"/>
    <n v="4.75"/>
    <n v="19"/>
    <x v="0"/>
    <x v="3"/>
  </r>
  <r>
    <x v="120"/>
    <x v="0"/>
    <x v="0"/>
    <n v="3"/>
    <n v="4.5"/>
    <n v="13.5"/>
    <x v="1"/>
    <x v="4"/>
  </r>
  <r>
    <x v="120"/>
    <x v="5"/>
    <x v="1"/>
    <n v="1"/>
    <n v="3.25"/>
    <n v="3.25"/>
    <x v="1"/>
    <x v="4"/>
  </r>
  <r>
    <x v="120"/>
    <x v="4"/>
    <x v="0"/>
    <n v="2"/>
    <n v="5.5"/>
    <n v="11"/>
    <x v="1"/>
    <x v="4"/>
  </r>
  <r>
    <x v="121"/>
    <x v="1"/>
    <x v="1"/>
    <n v="5"/>
    <n v="3.75"/>
    <n v="18.75"/>
    <x v="2"/>
    <x v="4"/>
  </r>
  <r>
    <x v="121"/>
    <x v="3"/>
    <x v="2"/>
    <n v="4"/>
    <n v="6.5"/>
    <n v="26"/>
    <x v="2"/>
    <x v="4"/>
  </r>
  <r>
    <x v="121"/>
    <x v="2"/>
    <x v="0"/>
    <n v="1"/>
    <n v="3.5"/>
    <n v="3.5"/>
    <x v="2"/>
    <x v="4"/>
  </r>
  <r>
    <x v="122"/>
    <x v="9"/>
    <x v="0"/>
    <n v="3"/>
    <n v="4.25"/>
    <n v="12.75"/>
    <x v="3"/>
    <x v="4"/>
  </r>
  <r>
    <x v="122"/>
    <x v="8"/>
    <x v="0"/>
    <n v="5"/>
    <n v="4.75"/>
    <n v="23.75"/>
    <x v="3"/>
    <x v="4"/>
  </r>
  <r>
    <x v="122"/>
    <x v="6"/>
    <x v="0"/>
    <n v="4"/>
    <n v="4.5"/>
    <n v="18"/>
    <x v="3"/>
    <x v="4"/>
  </r>
  <r>
    <x v="123"/>
    <x v="7"/>
    <x v="1"/>
    <n v="6"/>
    <n v="2.5"/>
    <n v="15"/>
    <x v="4"/>
    <x v="4"/>
  </r>
  <r>
    <x v="123"/>
    <x v="0"/>
    <x v="0"/>
    <n v="2"/>
    <n v="4.5"/>
    <n v="9"/>
    <x v="4"/>
    <x v="4"/>
  </r>
  <r>
    <x v="123"/>
    <x v="5"/>
    <x v="1"/>
    <n v="5"/>
    <n v="3.25"/>
    <n v="16.25"/>
    <x v="4"/>
    <x v="4"/>
  </r>
  <r>
    <x v="124"/>
    <x v="4"/>
    <x v="0"/>
    <n v="4"/>
    <n v="5.5"/>
    <n v="22"/>
    <x v="5"/>
    <x v="4"/>
  </r>
  <r>
    <x v="124"/>
    <x v="1"/>
    <x v="1"/>
    <n v="2"/>
    <n v="3.75"/>
    <n v="7.5"/>
    <x v="5"/>
    <x v="4"/>
  </r>
  <r>
    <x v="124"/>
    <x v="3"/>
    <x v="2"/>
    <n v="3"/>
    <n v="6.5"/>
    <n v="19.5"/>
    <x v="5"/>
    <x v="4"/>
  </r>
  <r>
    <x v="125"/>
    <x v="2"/>
    <x v="0"/>
    <n v="6"/>
    <n v="3.5"/>
    <n v="21"/>
    <x v="6"/>
    <x v="4"/>
  </r>
  <r>
    <x v="125"/>
    <x v="9"/>
    <x v="0"/>
    <n v="1"/>
    <n v="4.25"/>
    <n v="4.25"/>
    <x v="6"/>
    <x v="4"/>
  </r>
  <r>
    <x v="125"/>
    <x v="8"/>
    <x v="0"/>
    <n v="3"/>
    <n v="4.75"/>
    <n v="14.25"/>
    <x v="6"/>
    <x v="4"/>
  </r>
  <r>
    <x v="126"/>
    <x v="6"/>
    <x v="0"/>
    <n v="2"/>
    <n v="4.5"/>
    <n v="9"/>
    <x v="0"/>
    <x v="4"/>
  </r>
  <r>
    <x v="126"/>
    <x v="7"/>
    <x v="1"/>
    <n v="9"/>
    <n v="2.5"/>
    <n v="22.5"/>
    <x v="0"/>
    <x v="4"/>
  </r>
  <r>
    <x v="126"/>
    <x v="0"/>
    <x v="0"/>
    <n v="5"/>
    <n v="4.5"/>
    <n v="22.5"/>
    <x v="0"/>
    <x v="4"/>
  </r>
  <r>
    <x v="127"/>
    <x v="5"/>
    <x v="1"/>
    <n v="4"/>
    <n v="3.25"/>
    <n v="13"/>
    <x v="1"/>
    <x v="4"/>
  </r>
  <r>
    <x v="127"/>
    <x v="4"/>
    <x v="0"/>
    <n v="1"/>
    <n v="5.5"/>
    <n v="5.5"/>
    <x v="1"/>
    <x v="4"/>
  </r>
  <r>
    <x v="127"/>
    <x v="1"/>
    <x v="1"/>
    <n v="3"/>
    <n v="3.75"/>
    <n v="11.25"/>
    <x v="1"/>
    <x v="4"/>
  </r>
  <r>
    <x v="128"/>
    <x v="3"/>
    <x v="2"/>
    <n v="2"/>
    <n v="6.5"/>
    <n v="13"/>
    <x v="2"/>
    <x v="4"/>
  </r>
  <r>
    <x v="128"/>
    <x v="2"/>
    <x v="0"/>
    <n v="4"/>
    <n v="3.5"/>
    <n v="14"/>
    <x v="2"/>
    <x v="4"/>
  </r>
  <r>
    <x v="128"/>
    <x v="9"/>
    <x v="0"/>
    <n v="2"/>
    <n v="4.25"/>
    <n v="8.5"/>
    <x v="2"/>
    <x v="4"/>
  </r>
  <r>
    <x v="129"/>
    <x v="8"/>
    <x v="0"/>
    <n v="4"/>
    <n v="4.75"/>
    <n v="19"/>
    <x v="3"/>
    <x v="4"/>
  </r>
  <r>
    <x v="129"/>
    <x v="6"/>
    <x v="0"/>
    <n v="5"/>
    <n v="4.5"/>
    <n v="22.5"/>
    <x v="3"/>
    <x v="4"/>
  </r>
  <r>
    <x v="129"/>
    <x v="7"/>
    <x v="1"/>
    <n v="7"/>
    <n v="2.5"/>
    <n v="17.5"/>
    <x v="3"/>
    <x v="4"/>
  </r>
  <r>
    <x v="130"/>
    <x v="0"/>
    <x v="0"/>
    <n v="1"/>
    <n v="4.5"/>
    <n v="4.5"/>
    <x v="4"/>
    <x v="4"/>
  </r>
  <r>
    <x v="130"/>
    <x v="5"/>
    <x v="1"/>
    <n v="2"/>
    <n v="3.25"/>
    <n v="6.5"/>
    <x v="4"/>
    <x v="4"/>
  </r>
  <r>
    <x v="130"/>
    <x v="4"/>
    <x v="0"/>
    <n v="3"/>
    <n v="5.5"/>
    <n v="16.5"/>
    <x v="4"/>
    <x v="4"/>
  </r>
  <r>
    <x v="131"/>
    <x v="1"/>
    <x v="1"/>
    <n v="4"/>
    <n v="3.75"/>
    <n v="15"/>
    <x v="5"/>
    <x v="4"/>
  </r>
  <r>
    <x v="131"/>
    <x v="3"/>
    <x v="2"/>
    <n v="5"/>
    <n v="6.5"/>
    <n v="32.5"/>
    <x v="5"/>
    <x v="4"/>
  </r>
  <r>
    <x v="131"/>
    <x v="2"/>
    <x v="0"/>
    <n v="2"/>
    <n v="3.5"/>
    <n v="7"/>
    <x v="5"/>
    <x v="4"/>
  </r>
  <r>
    <x v="132"/>
    <x v="9"/>
    <x v="0"/>
    <n v="5"/>
    <n v="4.25"/>
    <n v="21.25"/>
    <x v="6"/>
    <x v="4"/>
  </r>
  <r>
    <x v="132"/>
    <x v="8"/>
    <x v="0"/>
    <n v="1"/>
    <n v="4.75"/>
    <n v="4.75"/>
    <x v="6"/>
    <x v="4"/>
  </r>
  <r>
    <x v="132"/>
    <x v="6"/>
    <x v="0"/>
    <n v="3"/>
    <n v="4.5"/>
    <n v="13.5"/>
    <x v="6"/>
    <x v="4"/>
  </r>
  <r>
    <x v="133"/>
    <x v="7"/>
    <x v="1"/>
    <n v="11"/>
    <n v="2.5"/>
    <n v="27.5"/>
    <x v="0"/>
    <x v="4"/>
  </r>
  <r>
    <x v="133"/>
    <x v="0"/>
    <x v="0"/>
    <n v="4"/>
    <n v="4.5"/>
    <n v="18"/>
    <x v="0"/>
    <x v="4"/>
  </r>
  <r>
    <x v="133"/>
    <x v="5"/>
    <x v="1"/>
    <n v="3"/>
    <n v="3.25"/>
    <n v="9.75"/>
    <x v="0"/>
    <x v="4"/>
  </r>
  <r>
    <x v="134"/>
    <x v="4"/>
    <x v="0"/>
    <n v="5"/>
    <n v="5.5"/>
    <n v="27.5"/>
    <x v="1"/>
    <x v="4"/>
  </r>
  <r>
    <x v="134"/>
    <x v="1"/>
    <x v="1"/>
    <n v="1"/>
    <n v="3.75"/>
    <n v="3.75"/>
    <x v="1"/>
    <x v="4"/>
  </r>
  <r>
    <x v="134"/>
    <x v="3"/>
    <x v="2"/>
    <n v="2"/>
    <n v="6.5"/>
    <n v="13"/>
    <x v="1"/>
    <x v="4"/>
  </r>
  <r>
    <x v="135"/>
    <x v="2"/>
    <x v="0"/>
    <n v="3"/>
    <n v="3.5"/>
    <n v="10.5"/>
    <x v="2"/>
    <x v="4"/>
  </r>
  <r>
    <x v="135"/>
    <x v="9"/>
    <x v="0"/>
    <n v="4"/>
    <n v="4.25"/>
    <n v="17"/>
    <x v="2"/>
    <x v="4"/>
  </r>
  <r>
    <x v="135"/>
    <x v="8"/>
    <x v="0"/>
    <n v="2"/>
    <n v="4.75"/>
    <n v="9.5"/>
    <x v="2"/>
    <x v="4"/>
  </r>
  <r>
    <x v="136"/>
    <x v="6"/>
    <x v="0"/>
    <n v="1"/>
    <n v="4.5"/>
    <n v="4.5"/>
    <x v="3"/>
    <x v="4"/>
  </r>
  <r>
    <x v="136"/>
    <x v="7"/>
    <x v="1"/>
    <n v="5"/>
    <n v="2.5"/>
    <n v="12.5"/>
    <x v="3"/>
    <x v="4"/>
  </r>
  <r>
    <x v="136"/>
    <x v="0"/>
    <x v="0"/>
    <n v="3"/>
    <n v="4.5"/>
    <n v="13.5"/>
    <x v="3"/>
    <x v="4"/>
  </r>
  <r>
    <x v="137"/>
    <x v="5"/>
    <x v="1"/>
    <n v="5"/>
    <n v="3.25"/>
    <n v="16.25"/>
    <x v="4"/>
    <x v="4"/>
  </r>
  <r>
    <x v="137"/>
    <x v="4"/>
    <x v="0"/>
    <n v="2"/>
    <n v="5.5"/>
    <n v="11"/>
    <x v="4"/>
    <x v="4"/>
  </r>
  <r>
    <x v="137"/>
    <x v="1"/>
    <x v="1"/>
    <n v="4"/>
    <n v="3.75"/>
    <n v="15"/>
    <x v="4"/>
    <x v="4"/>
  </r>
  <r>
    <x v="138"/>
    <x v="3"/>
    <x v="2"/>
    <n v="1"/>
    <n v="6.5"/>
    <n v="6.5"/>
    <x v="5"/>
    <x v="4"/>
  </r>
  <r>
    <x v="138"/>
    <x v="2"/>
    <x v="0"/>
    <n v="5"/>
    <n v="3.5"/>
    <n v="17.5"/>
    <x v="5"/>
    <x v="4"/>
  </r>
  <r>
    <x v="138"/>
    <x v="9"/>
    <x v="0"/>
    <n v="2"/>
    <n v="4.25"/>
    <n v="8.5"/>
    <x v="5"/>
    <x v="4"/>
  </r>
  <r>
    <x v="139"/>
    <x v="8"/>
    <x v="0"/>
    <n v="3"/>
    <n v="4.75"/>
    <n v="14.25"/>
    <x v="6"/>
    <x v="4"/>
  </r>
  <r>
    <x v="139"/>
    <x v="6"/>
    <x v="0"/>
    <n v="2"/>
    <n v="4.5"/>
    <n v="9"/>
    <x v="6"/>
    <x v="4"/>
  </r>
  <r>
    <x v="139"/>
    <x v="7"/>
    <x v="1"/>
    <n v="8"/>
    <n v="2.5"/>
    <n v="20"/>
    <x v="6"/>
    <x v="4"/>
  </r>
  <r>
    <x v="140"/>
    <x v="0"/>
    <x v="0"/>
    <n v="2"/>
    <n v="4.5"/>
    <n v="9"/>
    <x v="0"/>
    <x v="4"/>
  </r>
  <r>
    <x v="140"/>
    <x v="5"/>
    <x v="1"/>
    <n v="4"/>
    <n v="3.25"/>
    <n v="13"/>
    <x v="0"/>
    <x v="4"/>
  </r>
  <r>
    <x v="140"/>
    <x v="4"/>
    <x v="0"/>
    <n v="4"/>
    <n v="5.5"/>
    <n v="22"/>
    <x v="0"/>
    <x v="4"/>
  </r>
  <r>
    <x v="141"/>
    <x v="1"/>
    <x v="1"/>
    <n v="6"/>
    <n v="3.75"/>
    <n v="22.5"/>
    <x v="1"/>
    <x v="4"/>
  </r>
  <r>
    <x v="141"/>
    <x v="3"/>
    <x v="2"/>
    <n v="3"/>
    <n v="6.5"/>
    <n v="19.5"/>
    <x v="1"/>
    <x v="4"/>
  </r>
  <r>
    <x v="141"/>
    <x v="2"/>
    <x v="0"/>
    <n v="2"/>
    <n v="3.5"/>
    <n v="7"/>
    <x v="1"/>
    <x v="4"/>
  </r>
  <r>
    <x v="142"/>
    <x v="9"/>
    <x v="0"/>
    <n v="1"/>
    <n v="4.25"/>
    <n v="4.25"/>
    <x v="2"/>
    <x v="4"/>
  </r>
  <r>
    <x v="142"/>
    <x v="8"/>
    <x v="0"/>
    <n v="5"/>
    <n v="4.75"/>
    <n v="23.75"/>
    <x v="2"/>
    <x v="4"/>
  </r>
  <r>
    <x v="142"/>
    <x v="6"/>
    <x v="0"/>
    <n v="3"/>
    <n v="4.5"/>
    <n v="13.5"/>
    <x v="2"/>
    <x v="4"/>
  </r>
  <r>
    <x v="143"/>
    <x v="7"/>
    <x v="1"/>
    <n v="10"/>
    <n v="2.5"/>
    <n v="25"/>
    <x v="3"/>
    <x v="4"/>
  </r>
  <r>
    <x v="143"/>
    <x v="0"/>
    <x v="0"/>
    <n v="4"/>
    <n v="4.5"/>
    <n v="18"/>
    <x v="3"/>
    <x v="4"/>
  </r>
  <r>
    <x v="143"/>
    <x v="5"/>
    <x v="1"/>
    <n v="1"/>
    <n v="3.25"/>
    <n v="3.25"/>
    <x v="3"/>
    <x v="4"/>
  </r>
  <r>
    <x v="144"/>
    <x v="4"/>
    <x v="0"/>
    <n v="3"/>
    <n v="5.5"/>
    <n v="16.5"/>
    <x v="4"/>
    <x v="4"/>
  </r>
  <r>
    <x v="144"/>
    <x v="1"/>
    <x v="1"/>
    <n v="2"/>
    <n v="3.75"/>
    <n v="7.5"/>
    <x v="4"/>
    <x v="4"/>
  </r>
  <r>
    <x v="144"/>
    <x v="3"/>
    <x v="2"/>
    <n v="4"/>
    <n v="6.5"/>
    <n v="26"/>
    <x v="4"/>
    <x v="4"/>
  </r>
  <r>
    <x v="145"/>
    <x v="2"/>
    <x v="0"/>
    <n v="4"/>
    <n v="3.5"/>
    <n v="14"/>
    <x v="5"/>
    <x v="4"/>
  </r>
  <r>
    <x v="145"/>
    <x v="9"/>
    <x v="0"/>
    <n v="3"/>
    <n v="4.25"/>
    <n v="12.75"/>
    <x v="5"/>
    <x v="4"/>
  </r>
  <r>
    <x v="145"/>
    <x v="8"/>
    <x v="0"/>
    <n v="1"/>
    <n v="4.75"/>
    <n v="4.75"/>
    <x v="5"/>
    <x v="4"/>
  </r>
  <r>
    <x v="146"/>
    <x v="6"/>
    <x v="0"/>
    <n v="5"/>
    <n v="4.5"/>
    <n v="22.5"/>
    <x v="6"/>
    <x v="4"/>
  </r>
  <r>
    <x v="146"/>
    <x v="7"/>
    <x v="1"/>
    <n v="6"/>
    <n v="2.5"/>
    <n v="15"/>
    <x v="6"/>
    <x v="4"/>
  </r>
  <r>
    <x v="146"/>
    <x v="0"/>
    <x v="0"/>
    <n v="1"/>
    <n v="4.5"/>
    <n v="4.5"/>
    <x v="6"/>
    <x v="4"/>
  </r>
  <r>
    <x v="147"/>
    <x v="5"/>
    <x v="1"/>
    <n v="2"/>
    <n v="3.25"/>
    <n v="6.5"/>
    <x v="0"/>
    <x v="4"/>
  </r>
  <r>
    <x v="147"/>
    <x v="4"/>
    <x v="0"/>
    <n v="5"/>
    <n v="5.5"/>
    <n v="27.5"/>
    <x v="0"/>
    <x v="4"/>
  </r>
  <r>
    <x v="147"/>
    <x v="1"/>
    <x v="1"/>
    <n v="3"/>
    <n v="3.75"/>
    <n v="11.25"/>
    <x v="0"/>
    <x v="4"/>
  </r>
  <r>
    <x v="148"/>
    <x v="3"/>
    <x v="2"/>
    <n v="5"/>
    <n v="6.5"/>
    <n v="32.5"/>
    <x v="1"/>
    <x v="4"/>
  </r>
  <r>
    <x v="148"/>
    <x v="2"/>
    <x v="0"/>
    <n v="1"/>
    <n v="3.5"/>
    <n v="3.5"/>
    <x v="1"/>
    <x v="4"/>
  </r>
  <r>
    <x v="148"/>
    <x v="9"/>
    <x v="0"/>
    <n v="2"/>
    <n v="4.25"/>
    <n v="8.5"/>
    <x v="1"/>
    <x v="4"/>
  </r>
  <r>
    <x v="149"/>
    <x v="8"/>
    <x v="0"/>
    <n v="4"/>
    <n v="4.75"/>
    <n v="19"/>
    <x v="2"/>
    <x v="4"/>
  </r>
  <r>
    <x v="149"/>
    <x v="6"/>
    <x v="0"/>
    <n v="4"/>
    <n v="4.5"/>
    <n v="18"/>
    <x v="2"/>
    <x v="4"/>
  </r>
  <r>
    <x v="149"/>
    <x v="7"/>
    <x v="1"/>
    <n v="12"/>
    <n v="2.5"/>
    <n v="30"/>
    <x v="2"/>
    <x v="4"/>
  </r>
  <r>
    <x v="150"/>
    <x v="0"/>
    <x v="0"/>
    <n v="5"/>
    <n v="4.5"/>
    <n v="22.5"/>
    <x v="3"/>
    <x v="4"/>
  </r>
  <r>
    <x v="150"/>
    <x v="5"/>
    <x v="1"/>
    <n v="3"/>
    <n v="3.25"/>
    <n v="9.75"/>
    <x v="3"/>
    <x v="4"/>
  </r>
  <r>
    <x v="150"/>
    <x v="4"/>
    <x v="0"/>
    <n v="1"/>
    <n v="5.5"/>
    <n v="5.5"/>
    <x v="3"/>
    <x v="4"/>
  </r>
  <r>
    <x v="151"/>
    <x v="1"/>
    <x v="1"/>
    <n v="4"/>
    <n v="3.75"/>
    <n v="15"/>
    <x v="4"/>
    <x v="5"/>
  </r>
  <r>
    <x v="151"/>
    <x v="3"/>
    <x v="2"/>
    <n v="2"/>
    <n v="6.5"/>
    <n v="13"/>
    <x v="4"/>
    <x v="5"/>
  </r>
  <r>
    <x v="151"/>
    <x v="2"/>
    <x v="0"/>
    <n v="3"/>
    <n v="3.5"/>
    <n v="10.5"/>
    <x v="4"/>
    <x v="5"/>
  </r>
  <r>
    <x v="152"/>
    <x v="9"/>
    <x v="0"/>
    <n v="5"/>
    <n v="4.25"/>
    <n v="21.25"/>
    <x v="5"/>
    <x v="5"/>
  </r>
  <r>
    <x v="152"/>
    <x v="8"/>
    <x v="0"/>
    <n v="2"/>
    <n v="4.75"/>
    <n v="9.5"/>
    <x v="5"/>
    <x v="5"/>
  </r>
  <r>
    <x v="152"/>
    <x v="6"/>
    <x v="0"/>
    <n v="1"/>
    <n v="4.5"/>
    <n v="4.5"/>
    <x v="5"/>
    <x v="5"/>
  </r>
  <r>
    <x v="153"/>
    <x v="7"/>
    <x v="1"/>
    <n v="7"/>
    <n v="2.5"/>
    <n v="17.5"/>
    <x v="6"/>
    <x v="5"/>
  </r>
  <r>
    <x v="153"/>
    <x v="0"/>
    <x v="0"/>
    <n v="2"/>
    <n v="4.5"/>
    <n v="9"/>
    <x v="6"/>
    <x v="5"/>
  </r>
  <r>
    <x v="153"/>
    <x v="5"/>
    <x v="1"/>
    <n v="4"/>
    <n v="3.25"/>
    <n v="13"/>
    <x v="6"/>
    <x v="5"/>
  </r>
  <r>
    <x v="154"/>
    <x v="4"/>
    <x v="0"/>
    <n v="4"/>
    <n v="5.5"/>
    <n v="22"/>
    <x v="0"/>
    <x v="5"/>
  </r>
  <r>
    <x v="154"/>
    <x v="1"/>
    <x v="1"/>
    <n v="2"/>
    <n v="3.75"/>
    <n v="7.5"/>
    <x v="0"/>
    <x v="5"/>
  </r>
  <r>
    <x v="154"/>
    <x v="3"/>
    <x v="2"/>
    <n v="3"/>
    <n v="6.5"/>
    <n v="19.5"/>
    <x v="0"/>
    <x v="5"/>
  </r>
  <r>
    <x v="155"/>
    <x v="2"/>
    <x v="0"/>
    <n v="5"/>
    <n v="3.5"/>
    <n v="17.5"/>
    <x v="1"/>
    <x v="5"/>
  </r>
  <r>
    <x v="155"/>
    <x v="9"/>
    <x v="0"/>
    <n v="1"/>
    <n v="4.25"/>
    <n v="4.25"/>
    <x v="1"/>
    <x v="5"/>
  </r>
  <r>
    <x v="155"/>
    <x v="8"/>
    <x v="0"/>
    <n v="3"/>
    <n v="4.75"/>
    <n v="14.25"/>
    <x v="1"/>
    <x v="5"/>
  </r>
  <r>
    <x v="156"/>
    <x v="6"/>
    <x v="0"/>
    <n v="3"/>
    <n v="4.5"/>
    <n v="13.5"/>
    <x v="2"/>
    <x v="5"/>
  </r>
  <r>
    <x v="156"/>
    <x v="7"/>
    <x v="1"/>
    <n v="9"/>
    <n v="2.5"/>
    <n v="22.5"/>
    <x v="2"/>
    <x v="5"/>
  </r>
  <r>
    <x v="156"/>
    <x v="0"/>
    <x v="0"/>
    <n v="4"/>
    <n v="4.5"/>
    <n v="18"/>
    <x v="2"/>
    <x v="5"/>
  </r>
  <r>
    <x v="157"/>
    <x v="5"/>
    <x v="1"/>
    <n v="1"/>
    <n v="3.25"/>
    <n v="3.25"/>
    <x v="3"/>
    <x v="5"/>
  </r>
  <r>
    <x v="157"/>
    <x v="4"/>
    <x v="0"/>
    <n v="3"/>
    <n v="5.5"/>
    <n v="16.5"/>
    <x v="3"/>
    <x v="5"/>
  </r>
  <r>
    <x v="157"/>
    <x v="1"/>
    <x v="1"/>
    <n v="5"/>
    <n v="3.75"/>
    <n v="18.75"/>
    <x v="3"/>
    <x v="5"/>
  </r>
  <r>
    <x v="158"/>
    <x v="3"/>
    <x v="2"/>
    <n v="4"/>
    <n v="6.5"/>
    <n v="26"/>
    <x v="4"/>
    <x v="5"/>
  </r>
  <r>
    <x v="158"/>
    <x v="2"/>
    <x v="0"/>
    <n v="2"/>
    <n v="3.5"/>
    <n v="7"/>
    <x v="4"/>
    <x v="5"/>
  </r>
  <r>
    <x v="158"/>
    <x v="9"/>
    <x v="0"/>
    <n v="3"/>
    <n v="4.25"/>
    <n v="12.75"/>
    <x v="4"/>
    <x v="5"/>
  </r>
  <r>
    <x v="159"/>
    <x v="0"/>
    <x v="0"/>
    <n v="3"/>
    <n v="4.5"/>
    <n v="13.5"/>
    <x v="5"/>
    <x v="5"/>
  </r>
  <r>
    <x v="159"/>
    <x v="5"/>
    <x v="1"/>
    <n v="2"/>
    <n v="3.25"/>
    <n v="6.5"/>
    <x v="5"/>
    <x v="5"/>
  </r>
  <r>
    <x v="159"/>
    <x v="4"/>
    <x v="0"/>
    <n v="5"/>
    <n v="5.5"/>
    <n v="27.5"/>
    <x v="5"/>
    <x v="5"/>
  </r>
  <r>
    <x v="160"/>
    <x v="1"/>
    <x v="1"/>
    <n v="4"/>
    <n v="3.75"/>
    <n v="15"/>
    <x v="6"/>
    <x v="5"/>
  </r>
  <r>
    <x v="160"/>
    <x v="3"/>
    <x v="2"/>
    <n v="2"/>
    <n v="6.5"/>
    <n v="13"/>
    <x v="6"/>
    <x v="5"/>
  </r>
  <r>
    <x v="160"/>
    <x v="2"/>
    <x v="0"/>
    <n v="1"/>
    <n v="3.5"/>
    <n v="3.5"/>
    <x v="6"/>
    <x v="5"/>
  </r>
  <r>
    <x v="161"/>
    <x v="9"/>
    <x v="0"/>
    <n v="4"/>
    <n v="4.25"/>
    <n v="17"/>
    <x v="0"/>
    <x v="5"/>
  </r>
  <r>
    <x v="161"/>
    <x v="8"/>
    <x v="0"/>
    <n v="3"/>
    <n v="4.75"/>
    <n v="14.25"/>
    <x v="0"/>
    <x v="5"/>
  </r>
  <r>
    <x v="161"/>
    <x v="6"/>
    <x v="0"/>
    <n v="5"/>
    <n v="4.5"/>
    <n v="22.5"/>
    <x v="0"/>
    <x v="5"/>
  </r>
  <r>
    <x v="162"/>
    <x v="7"/>
    <x v="1"/>
    <n v="6"/>
    <n v="2.5"/>
    <n v="15"/>
    <x v="1"/>
    <x v="5"/>
  </r>
  <r>
    <x v="162"/>
    <x v="0"/>
    <x v="0"/>
    <n v="2"/>
    <n v="4.5"/>
    <n v="9"/>
    <x v="1"/>
    <x v="5"/>
  </r>
  <r>
    <x v="162"/>
    <x v="5"/>
    <x v="1"/>
    <n v="3"/>
    <n v="3.25"/>
    <n v="9.75"/>
    <x v="1"/>
    <x v="5"/>
  </r>
  <r>
    <x v="163"/>
    <x v="4"/>
    <x v="0"/>
    <n v="4"/>
    <n v="5.5"/>
    <n v="22"/>
    <x v="2"/>
    <x v="5"/>
  </r>
  <r>
    <x v="163"/>
    <x v="1"/>
    <x v="1"/>
    <n v="1"/>
    <n v="3.75"/>
    <n v="3.75"/>
    <x v="2"/>
    <x v="5"/>
  </r>
  <r>
    <x v="163"/>
    <x v="3"/>
    <x v="2"/>
    <n v="5"/>
    <n v="6.5"/>
    <n v="32.5"/>
    <x v="2"/>
    <x v="5"/>
  </r>
  <r>
    <x v="164"/>
    <x v="2"/>
    <x v="0"/>
    <n v="3"/>
    <n v="3.5"/>
    <n v="10.5"/>
    <x v="3"/>
    <x v="5"/>
  </r>
  <r>
    <x v="164"/>
    <x v="9"/>
    <x v="0"/>
    <n v="2"/>
    <n v="4.25"/>
    <n v="8.5"/>
    <x v="3"/>
    <x v="5"/>
  </r>
  <r>
    <x v="164"/>
    <x v="8"/>
    <x v="0"/>
    <n v="4"/>
    <n v="4.75"/>
    <n v="19"/>
    <x v="3"/>
    <x v="5"/>
  </r>
  <r>
    <x v="165"/>
    <x v="6"/>
    <x v="0"/>
    <n v="2"/>
    <n v="4.5"/>
    <n v="9"/>
    <x v="4"/>
    <x v="5"/>
  </r>
  <r>
    <x v="165"/>
    <x v="7"/>
    <x v="1"/>
    <n v="8"/>
    <n v="2.5"/>
    <n v="20"/>
    <x v="4"/>
    <x v="5"/>
  </r>
  <r>
    <x v="165"/>
    <x v="0"/>
    <x v="0"/>
    <n v="5"/>
    <n v="4.5"/>
    <n v="22.5"/>
    <x v="4"/>
    <x v="5"/>
  </r>
  <r>
    <x v="166"/>
    <x v="5"/>
    <x v="1"/>
    <n v="4"/>
    <n v="3.25"/>
    <n v="13"/>
    <x v="5"/>
    <x v="5"/>
  </r>
  <r>
    <x v="166"/>
    <x v="4"/>
    <x v="0"/>
    <n v="1"/>
    <n v="5.5"/>
    <n v="5.5"/>
    <x v="5"/>
    <x v="5"/>
  </r>
  <r>
    <x v="166"/>
    <x v="1"/>
    <x v="1"/>
    <n v="3"/>
    <n v="3.75"/>
    <n v="11.25"/>
    <x v="5"/>
    <x v="5"/>
  </r>
  <r>
    <x v="167"/>
    <x v="3"/>
    <x v="2"/>
    <n v="3"/>
    <n v="6.5"/>
    <n v="19.5"/>
    <x v="6"/>
    <x v="5"/>
  </r>
  <r>
    <x v="167"/>
    <x v="2"/>
    <x v="0"/>
    <n v="4"/>
    <n v="3.5"/>
    <n v="14"/>
    <x v="6"/>
    <x v="5"/>
  </r>
  <r>
    <x v="167"/>
    <x v="9"/>
    <x v="0"/>
    <n v="1"/>
    <n v="4.25"/>
    <n v="4.25"/>
    <x v="6"/>
    <x v="5"/>
  </r>
  <r>
    <x v="168"/>
    <x v="8"/>
    <x v="0"/>
    <n v="5"/>
    <n v="4.75"/>
    <n v="23.75"/>
    <x v="0"/>
    <x v="5"/>
  </r>
  <r>
    <x v="168"/>
    <x v="6"/>
    <x v="0"/>
    <n v="3"/>
    <n v="4.5"/>
    <n v="13.5"/>
    <x v="0"/>
    <x v="5"/>
  </r>
  <r>
    <x v="168"/>
    <x v="7"/>
    <x v="1"/>
    <n v="10"/>
    <n v="2.5"/>
    <n v="25"/>
    <x v="0"/>
    <x v="5"/>
  </r>
  <r>
    <x v="169"/>
    <x v="0"/>
    <x v="0"/>
    <n v="2"/>
    <n v="4.5"/>
    <n v="9"/>
    <x v="1"/>
    <x v="5"/>
  </r>
  <r>
    <x v="169"/>
    <x v="5"/>
    <x v="1"/>
    <n v="5"/>
    <n v="3.25"/>
    <n v="16.25"/>
    <x v="1"/>
    <x v="5"/>
  </r>
  <r>
    <x v="169"/>
    <x v="4"/>
    <x v="0"/>
    <n v="3"/>
    <n v="5.5"/>
    <n v="16.5"/>
    <x v="1"/>
    <x v="5"/>
  </r>
  <r>
    <x v="170"/>
    <x v="1"/>
    <x v="1"/>
    <n v="2"/>
    <n v="3.75"/>
    <n v="7.5"/>
    <x v="2"/>
    <x v="5"/>
  </r>
  <r>
    <x v="170"/>
    <x v="3"/>
    <x v="2"/>
    <n v="4"/>
    <n v="6.5"/>
    <n v="26"/>
    <x v="2"/>
    <x v="5"/>
  </r>
  <r>
    <x v="170"/>
    <x v="2"/>
    <x v="0"/>
    <n v="2"/>
    <n v="3.5"/>
    <n v="7"/>
    <x v="2"/>
    <x v="5"/>
  </r>
  <r>
    <x v="171"/>
    <x v="9"/>
    <x v="0"/>
    <n v="3"/>
    <n v="4.25"/>
    <n v="12.75"/>
    <x v="3"/>
    <x v="5"/>
  </r>
  <r>
    <x v="171"/>
    <x v="8"/>
    <x v="0"/>
    <n v="1"/>
    <n v="4.75"/>
    <n v="4.75"/>
    <x v="3"/>
    <x v="5"/>
  </r>
  <r>
    <x v="171"/>
    <x v="6"/>
    <x v="0"/>
    <n v="4"/>
    <n v="4.5"/>
    <n v="18"/>
    <x v="3"/>
    <x v="5"/>
  </r>
  <r>
    <x v="172"/>
    <x v="7"/>
    <x v="1"/>
    <n v="7"/>
    <n v="2.5"/>
    <n v="17.5"/>
    <x v="4"/>
    <x v="5"/>
  </r>
  <r>
    <x v="172"/>
    <x v="0"/>
    <x v="0"/>
    <n v="1"/>
    <n v="4.5"/>
    <n v="4.5"/>
    <x v="4"/>
    <x v="5"/>
  </r>
  <r>
    <x v="172"/>
    <x v="5"/>
    <x v="1"/>
    <n v="2"/>
    <n v="3.25"/>
    <n v="6.5"/>
    <x v="4"/>
    <x v="5"/>
  </r>
  <r>
    <x v="173"/>
    <x v="4"/>
    <x v="0"/>
    <n v="5"/>
    <n v="5.5"/>
    <n v="27.5"/>
    <x v="5"/>
    <x v="5"/>
  </r>
  <r>
    <x v="173"/>
    <x v="1"/>
    <x v="1"/>
    <n v="4"/>
    <n v="3.75"/>
    <n v="15"/>
    <x v="5"/>
    <x v="5"/>
  </r>
  <r>
    <x v="173"/>
    <x v="3"/>
    <x v="2"/>
    <n v="2"/>
    <n v="6.5"/>
    <n v="13"/>
    <x v="5"/>
    <x v="5"/>
  </r>
  <r>
    <x v="174"/>
    <x v="2"/>
    <x v="0"/>
    <n v="5"/>
    <n v="3.5"/>
    <n v="17.5"/>
    <x v="6"/>
    <x v="5"/>
  </r>
  <r>
    <x v="174"/>
    <x v="9"/>
    <x v="0"/>
    <n v="2"/>
    <n v="4.25"/>
    <n v="8.5"/>
    <x v="6"/>
    <x v="5"/>
  </r>
  <r>
    <x v="174"/>
    <x v="8"/>
    <x v="0"/>
    <n v="3"/>
    <n v="4.75"/>
    <n v="14.25"/>
    <x v="6"/>
    <x v="5"/>
  </r>
  <r>
    <x v="175"/>
    <x v="6"/>
    <x v="0"/>
    <n v="1"/>
    <n v="4.5"/>
    <n v="4.5"/>
    <x v="0"/>
    <x v="5"/>
  </r>
  <r>
    <x v="175"/>
    <x v="7"/>
    <x v="1"/>
    <n v="11"/>
    <n v="2.5"/>
    <n v="27.5"/>
    <x v="0"/>
    <x v="5"/>
  </r>
  <r>
    <x v="175"/>
    <x v="0"/>
    <x v="0"/>
    <n v="4"/>
    <n v="4.5"/>
    <n v="18"/>
    <x v="0"/>
    <x v="5"/>
  </r>
  <r>
    <x v="176"/>
    <x v="5"/>
    <x v="1"/>
    <n v="3"/>
    <n v="3.25"/>
    <n v="9.75"/>
    <x v="1"/>
    <x v="5"/>
  </r>
  <r>
    <x v="176"/>
    <x v="4"/>
    <x v="0"/>
    <n v="2"/>
    <n v="5.5"/>
    <n v="11"/>
    <x v="1"/>
    <x v="5"/>
  </r>
  <r>
    <x v="176"/>
    <x v="1"/>
    <x v="1"/>
    <n v="1"/>
    <n v="3.75"/>
    <n v="3.75"/>
    <x v="1"/>
    <x v="5"/>
  </r>
  <r>
    <x v="177"/>
    <x v="3"/>
    <x v="2"/>
    <n v="4"/>
    <n v="6.5"/>
    <n v="26"/>
    <x v="2"/>
    <x v="5"/>
  </r>
  <r>
    <x v="177"/>
    <x v="2"/>
    <x v="0"/>
    <n v="3"/>
    <n v="3.5"/>
    <n v="10.5"/>
    <x v="2"/>
    <x v="5"/>
  </r>
  <r>
    <x v="177"/>
    <x v="9"/>
    <x v="0"/>
    <n v="5"/>
    <n v="4.25"/>
    <n v="21.25"/>
    <x v="2"/>
    <x v="5"/>
  </r>
  <r>
    <x v="178"/>
    <x v="8"/>
    <x v="0"/>
    <n v="2"/>
    <n v="4.75"/>
    <n v="9.5"/>
    <x v="3"/>
    <x v="5"/>
  </r>
  <r>
    <x v="178"/>
    <x v="6"/>
    <x v="0"/>
    <n v="2"/>
    <n v="4.5"/>
    <n v="9"/>
    <x v="3"/>
    <x v="5"/>
  </r>
  <r>
    <x v="178"/>
    <x v="7"/>
    <x v="1"/>
    <n v="6"/>
    <n v="2.5"/>
    <n v="15"/>
    <x v="3"/>
    <x v="5"/>
  </r>
  <r>
    <x v="179"/>
    <x v="0"/>
    <x v="0"/>
    <n v="3"/>
    <n v="4.5"/>
    <n v="13.5"/>
    <x v="4"/>
    <x v="5"/>
  </r>
  <r>
    <x v="179"/>
    <x v="5"/>
    <x v="1"/>
    <n v="1"/>
    <n v="3.25"/>
    <n v="3.25"/>
    <x v="4"/>
    <x v="5"/>
  </r>
  <r>
    <x v="179"/>
    <x v="4"/>
    <x v="0"/>
    <n v="4"/>
    <n v="5.5"/>
    <n v="22"/>
    <x v="4"/>
    <x v="5"/>
  </r>
  <r>
    <x v="180"/>
    <x v="1"/>
    <x v="1"/>
    <n v="5"/>
    <n v="3.75"/>
    <n v="18.75"/>
    <x v="5"/>
    <x v="5"/>
  </r>
  <r>
    <x v="180"/>
    <x v="3"/>
    <x v="2"/>
    <n v="3"/>
    <n v="6.5"/>
    <n v="19.5"/>
    <x v="5"/>
    <x v="5"/>
  </r>
  <r>
    <x v="180"/>
    <x v="2"/>
    <x v="0"/>
    <n v="4"/>
    <n v="3.5"/>
    <n v="14"/>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DFD368-5FBC-4304-8702-CA0FE5CD575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3:G14" firstHeaderRow="1" firstDataRow="1" firstDataCol="1"/>
  <pivotFields count="10">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axis="axisRow" showAll="0">
      <items count="11">
        <item x="2"/>
        <item x="6"/>
        <item x="7"/>
        <item x="1"/>
        <item x="9"/>
        <item x="8"/>
        <item x="0"/>
        <item x="5"/>
        <item x="3"/>
        <item x="4"/>
        <item t="default"/>
      </items>
    </pivotField>
    <pivotField showAll="0">
      <items count="4">
        <item x="2"/>
        <item x="1"/>
        <item x="0"/>
        <item t="default"/>
      </items>
    </pivotField>
    <pivotField showAll="0"/>
    <pivotField numFmtId="164" showAll="0"/>
    <pivotField dataField="1" numFmtId="164" showAll="0"/>
    <pivotField showAll="0"/>
    <pivotField showAll="0">
      <items count="7">
        <item x="0"/>
        <item x="1"/>
        <item x="2"/>
        <item x="3"/>
        <item x="4"/>
        <item x="5"/>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i>
    <i>
      <x v="1"/>
    </i>
    <i>
      <x v="2"/>
    </i>
    <i>
      <x v="3"/>
    </i>
    <i>
      <x v="4"/>
    </i>
    <i>
      <x v="5"/>
    </i>
    <i>
      <x v="6"/>
    </i>
    <i>
      <x v="7"/>
    </i>
    <i>
      <x v="8"/>
    </i>
    <i>
      <x v="9"/>
    </i>
    <i t="grand">
      <x/>
    </i>
  </rowItems>
  <colItems count="1">
    <i/>
  </colItems>
  <dataFields count="1">
    <dataField name="Sum of Revenue" fld="5" baseField="0" baseItem="0" numFmtId="164"/>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0AE979-E5AA-4235-89F9-C16D20FE48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9:G27" firstHeaderRow="1" firstDataRow="1" firstDataCol="1"/>
  <pivotFields count="10">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pivotField showAll="0">
      <items count="4">
        <item x="2"/>
        <item x="1"/>
        <item x="0"/>
        <item t="default"/>
      </items>
    </pivotField>
    <pivotField showAll="0"/>
    <pivotField numFmtId="164" showAll="0"/>
    <pivotField dataField="1" numFmtId="164" showAll="0"/>
    <pivotField axis="axisRow" showAll="0">
      <items count="8">
        <item x="4"/>
        <item x="5"/>
        <item x="6"/>
        <item x="0"/>
        <item x="1"/>
        <item x="2"/>
        <item x="3"/>
        <item t="default"/>
      </items>
    </pivotField>
    <pivotField showAll="0">
      <items count="7">
        <item x="0"/>
        <item x="1"/>
        <item x="2"/>
        <item x="3"/>
        <item x="4"/>
        <item x="5"/>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8">
    <i>
      <x/>
    </i>
    <i>
      <x v="1"/>
    </i>
    <i>
      <x v="2"/>
    </i>
    <i>
      <x v="3"/>
    </i>
    <i>
      <x v="4"/>
    </i>
    <i>
      <x v="5"/>
    </i>
    <i>
      <x v="6"/>
    </i>
    <i t="grand">
      <x/>
    </i>
  </rowItems>
  <colItems count="1">
    <i/>
  </colItems>
  <dataFields count="1">
    <dataField name="Sum of Revenue" fld="5" baseField="0" baseItem="0" numFmtId="164"/>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821574-A5BE-41D3-8C72-83EA8E2D27E1}"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19:B23" firstHeaderRow="1" firstDataRow="1" firstDataCol="1"/>
  <pivotFields count="10">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pivotField axis="axisRow" showAll="0">
      <items count="4">
        <item x="2"/>
        <item x="1"/>
        <item x="0"/>
        <item t="default"/>
      </items>
    </pivotField>
    <pivotField showAll="0"/>
    <pivotField numFmtId="164" showAll="0"/>
    <pivotField dataField="1" numFmtId="164" showAll="0"/>
    <pivotField showAll="0"/>
    <pivotField showAll="0">
      <items count="7">
        <item x="0"/>
        <item x="1"/>
        <item x="2"/>
        <item x="3"/>
        <item x="4"/>
        <item x="5"/>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Revenue" fld="5" baseField="0" baseItem="0" numFmtId="164"/>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05129C-4C36-44E7-AF2E-C2ADEE6431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B213" firstHeaderRow="1" firstDataRow="1" firstDataCol="1"/>
  <pivotFields count="10">
    <pivotField axis="axisRow"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pivotField showAll="0">
      <items count="4">
        <item x="2"/>
        <item x="1"/>
        <item x="0"/>
        <item t="default"/>
      </items>
    </pivotField>
    <pivotField dataField="1" showAll="0"/>
    <pivotField numFmtId="164" showAll="0"/>
    <pivotField numFmtId="164" showAll="0"/>
    <pivotField showAll="0"/>
    <pivotField showAll="0">
      <items count="7">
        <item x="0"/>
        <item x="1"/>
        <item x="2"/>
        <item x="3"/>
        <item x="4"/>
        <item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D9079A-ACE7-4069-8E4F-0035BFB42463}"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3:B10" firstHeaderRow="1" firstDataRow="1" firstDataCol="1"/>
  <pivotFields count="10">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pivotField showAll="0">
      <items count="4">
        <item x="2"/>
        <item x="1"/>
        <item x="0"/>
        <item t="default"/>
      </items>
    </pivotField>
    <pivotField showAll="0"/>
    <pivotField numFmtId="164" showAll="0"/>
    <pivotField dataField="1" numFmtId="164" showAll="0"/>
    <pivotField showAll="0"/>
    <pivotField axis="axisRow" showAll="0">
      <items count="7">
        <item x="0"/>
        <item x="1"/>
        <item x="2"/>
        <item x="3"/>
        <item x="4"/>
        <item x="5"/>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7">
    <i>
      <x/>
    </i>
    <i>
      <x v="1"/>
    </i>
    <i>
      <x v="2"/>
    </i>
    <i>
      <x v="3"/>
    </i>
    <i>
      <x v="4"/>
    </i>
    <i>
      <x v="5"/>
    </i>
    <i t="grand">
      <x/>
    </i>
  </rowItems>
  <colItems count="1">
    <i/>
  </colItems>
  <dataFields count="1">
    <dataField name="Sum of Revenue" fld="5" baseField="0" baseItem="0" numFmtId="164"/>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C561614-708A-4C7E-8671-8C6838BF3591}" sourceName="Month">
  <pivotTables>
    <pivotTable tabId="2" name="PivotTable9"/>
    <pivotTable tabId="2" name="PivotTable5"/>
    <pivotTable tabId="2" name="PivotTable6"/>
    <pivotTable tabId="2" name="PivotTable7"/>
    <pivotTable tabId="2" name="PivotTable8"/>
  </pivotTables>
  <data>
    <tabular pivotCacheId="1009190865">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902C19C-991E-47CA-9B83-99A857152EE6}" sourceName="Category">
  <pivotTables>
    <pivotTable tabId="2" name="PivotTable9"/>
    <pivotTable tabId="2" name="PivotTable5"/>
    <pivotTable tabId="2" name="PivotTable6"/>
    <pivotTable tabId="2" name="PivotTable7"/>
    <pivotTable tabId="2" name="PivotTable8"/>
  </pivotTables>
  <data>
    <tabular pivotCacheId="100919086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D7C0F480-BF3D-408B-BABD-E03F41CCDF03}" cache="Slicer_Month1" caption="Month" rowHeight="251883"/>
  <slicer name="Category 1" xr10:uid="{DF78E037-7FFA-4211-9B2F-BBDCCD8AF5D1}" cache="Slicer_Category1"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55C274-8BDD-48DD-A003-03DF705E73FD}" name="Sales_Data" displayName="Sales_Data" ref="A3:H546" totalsRowShown="0" headerRowDxfId="3">
  <autoFilter ref="A3:H546" xr:uid="{C455C274-8BDD-48DD-A003-03DF705E73FD}"/>
  <tableColumns count="8">
    <tableColumn id="1" xr3:uid="{C64F2D50-A078-4DF3-828E-51DE3B4E1C53}" name="Date" dataDxfId="2"/>
    <tableColumn id="2" xr3:uid="{DC7A9C5C-D63A-4E60-A8D5-767ABF39F8AF}" name="Product"/>
    <tableColumn id="3" xr3:uid="{4093B930-4C7F-466F-834E-D5952026B4C9}" name="Category"/>
    <tableColumn id="4" xr3:uid="{C0DF3ACA-9E7A-473C-80F2-52F571BCC199}" name="Quantity"/>
    <tableColumn id="5" xr3:uid="{E97F11F8-C347-42BA-9F15-C96179E81031}" name="Unit Price" dataDxfId="1"/>
    <tableColumn id="6" xr3:uid="{DCBDE1A7-82F4-4A26-8FEB-DCCB77B35BF6}" name="Revenue" dataDxfId="0"/>
    <tableColumn id="7" xr3:uid="{A9E9C1AA-A09E-42FC-9C1F-373220DC9118}" name="Day_of_Week">
      <calculatedColumnFormula>TEXT(A4,"dddd")</calculatedColumnFormula>
    </tableColumn>
    <tableColumn id="8" xr3:uid="{2C03B578-C00E-4FA1-B665-A30EB564C849}" name="Month">
      <calculatedColumnFormula>TEXT(A4,"mmmm")</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C484F-39B7-4155-9B6A-E67243AECF3B}">
  <dimension ref="A1:H546"/>
  <sheetViews>
    <sheetView zoomScaleNormal="100" workbookViewId="0">
      <pane ySplit="3" topLeftCell="A4" activePane="bottomLeft" state="frozen"/>
      <selection pane="bottomLeft" activeCell="K22" sqref="K22"/>
    </sheetView>
  </sheetViews>
  <sheetFormatPr defaultRowHeight="14.5" x14ac:dyDescent="0.35"/>
  <cols>
    <col min="1" max="1" width="10.08984375" bestFit="1" customWidth="1"/>
    <col min="2" max="2" width="9.36328125" customWidth="1"/>
    <col min="3" max="3" width="10.1796875" customWidth="1"/>
    <col min="4" max="4" width="10" customWidth="1"/>
    <col min="5" max="5" width="11" style="4" customWidth="1"/>
    <col min="6" max="6" width="10.08984375" style="4" customWidth="1"/>
    <col min="7" max="7" width="13.90625" customWidth="1"/>
  </cols>
  <sheetData>
    <row r="1" spans="1:8" x14ac:dyDescent="0.35">
      <c r="A1" s="36" t="s">
        <v>46</v>
      </c>
      <c r="B1" s="37"/>
      <c r="C1" s="37"/>
      <c r="D1" s="37"/>
      <c r="E1" s="37"/>
      <c r="F1" s="37"/>
      <c r="G1" s="37"/>
      <c r="H1" s="37"/>
    </row>
    <row r="3" spans="1:8" x14ac:dyDescent="0.35">
      <c r="A3" s="19" t="s">
        <v>0</v>
      </c>
      <c r="B3" s="19" t="s">
        <v>1</v>
      </c>
      <c r="C3" s="19" t="s">
        <v>2</v>
      </c>
      <c r="D3" s="19" t="s">
        <v>3</v>
      </c>
      <c r="E3" s="20" t="s">
        <v>4</v>
      </c>
      <c r="F3" s="20" t="s">
        <v>5</v>
      </c>
      <c r="G3" s="19" t="s">
        <v>19</v>
      </c>
      <c r="H3" s="19" t="s">
        <v>20</v>
      </c>
    </row>
    <row r="4" spans="1:8" x14ac:dyDescent="0.35">
      <c r="A4" s="1">
        <v>46023</v>
      </c>
      <c r="B4" t="s">
        <v>15</v>
      </c>
      <c r="C4" t="s">
        <v>16</v>
      </c>
      <c r="D4">
        <v>2</v>
      </c>
      <c r="E4" s="4">
        <v>4.5</v>
      </c>
      <c r="F4" s="4">
        <f>D4*E4</f>
        <v>9</v>
      </c>
      <c r="G4" t="str">
        <f>TEXT(A4,"dddd")</f>
        <v>Thursday</v>
      </c>
      <c r="H4" t="str">
        <f>TEXT(A4,"mmmm")</f>
        <v>January</v>
      </c>
    </row>
    <row r="5" spans="1:8" x14ac:dyDescent="0.35">
      <c r="A5" s="1">
        <v>46023</v>
      </c>
      <c r="B5" t="s">
        <v>9</v>
      </c>
      <c r="C5" t="s">
        <v>17</v>
      </c>
      <c r="D5">
        <v>1</v>
      </c>
      <c r="E5" s="4">
        <v>3.75</v>
      </c>
      <c r="F5" s="4">
        <f t="shared" ref="F5:F68" si="0">D5*E5</f>
        <v>3.75</v>
      </c>
      <c r="G5" t="str">
        <f t="shared" ref="G5:G68" si="1">TEXT(A5,"dddd")</f>
        <v>Thursday</v>
      </c>
      <c r="H5" t="str">
        <f t="shared" ref="H5:H68" si="2">TEXT(A5,"mmmm")</f>
        <v>January</v>
      </c>
    </row>
    <row r="6" spans="1:8" x14ac:dyDescent="0.35">
      <c r="A6" s="1">
        <v>46023</v>
      </c>
      <c r="B6" t="s">
        <v>7</v>
      </c>
      <c r="C6" t="s">
        <v>16</v>
      </c>
      <c r="D6">
        <v>4</v>
      </c>
      <c r="E6" s="4">
        <v>3.5</v>
      </c>
      <c r="F6" s="4">
        <f t="shared" si="0"/>
        <v>14</v>
      </c>
      <c r="G6" t="str">
        <f t="shared" si="1"/>
        <v>Thursday</v>
      </c>
      <c r="H6" t="str">
        <f t="shared" si="2"/>
        <v>January</v>
      </c>
    </row>
    <row r="7" spans="1:8" x14ac:dyDescent="0.35">
      <c r="A7" s="1">
        <v>46024</v>
      </c>
      <c r="B7" t="s">
        <v>11</v>
      </c>
      <c r="C7" t="s">
        <v>18</v>
      </c>
      <c r="D7">
        <v>3</v>
      </c>
      <c r="E7" s="4">
        <v>6.5</v>
      </c>
      <c r="F7" s="4">
        <f t="shared" si="0"/>
        <v>19.5</v>
      </c>
      <c r="G7" t="str">
        <f t="shared" si="1"/>
        <v>Friday</v>
      </c>
      <c r="H7" t="str">
        <f t="shared" si="2"/>
        <v>January</v>
      </c>
    </row>
    <row r="8" spans="1:8" x14ac:dyDescent="0.35">
      <c r="A8" s="1">
        <v>46024</v>
      </c>
      <c r="B8" t="s">
        <v>14</v>
      </c>
      <c r="C8" t="s">
        <v>16</v>
      </c>
      <c r="D8">
        <v>1</v>
      </c>
      <c r="E8" s="4">
        <v>5.5</v>
      </c>
      <c r="F8" s="4">
        <f t="shared" si="0"/>
        <v>5.5</v>
      </c>
      <c r="G8" t="str">
        <f t="shared" si="1"/>
        <v>Friday</v>
      </c>
      <c r="H8" t="str">
        <f t="shared" si="2"/>
        <v>January</v>
      </c>
    </row>
    <row r="9" spans="1:8" x14ac:dyDescent="0.35">
      <c r="A9" s="1">
        <v>46024</v>
      </c>
      <c r="B9" t="s">
        <v>10</v>
      </c>
      <c r="C9" t="s">
        <v>17</v>
      </c>
      <c r="D9">
        <v>5</v>
      </c>
      <c r="E9" s="4">
        <v>3.25</v>
      </c>
      <c r="F9" s="4">
        <f t="shared" si="0"/>
        <v>16.25</v>
      </c>
      <c r="G9" t="str">
        <f t="shared" si="1"/>
        <v>Friday</v>
      </c>
      <c r="H9" t="str">
        <f t="shared" si="2"/>
        <v>January</v>
      </c>
    </row>
    <row r="10" spans="1:8" x14ac:dyDescent="0.35">
      <c r="A10" s="1">
        <v>46025</v>
      </c>
      <c r="B10" t="s">
        <v>6</v>
      </c>
      <c r="C10" t="s">
        <v>16</v>
      </c>
      <c r="D10">
        <v>2</v>
      </c>
      <c r="E10" s="4">
        <v>4.5</v>
      </c>
      <c r="F10" s="4">
        <f t="shared" si="0"/>
        <v>9</v>
      </c>
      <c r="G10" t="str">
        <f t="shared" si="1"/>
        <v>Saturday</v>
      </c>
      <c r="H10" t="str">
        <f t="shared" si="2"/>
        <v>January</v>
      </c>
    </row>
    <row r="11" spans="1:8" x14ac:dyDescent="0.35">
      <c r="A11" s="1">
        <v>46025</v>
      </c>
      <c r="B11" t="s">
        <v>12</v>
      </c>
      <c r="C11" t="s">
        <v>17</v>
      </c>
      <c r="D11">
        <v>8</v>
      </c>
      <c r="E11" s="4">
        <v>2.5</v>
      </c>
      <c r="F11" s="4">
        <f t="shared" si="0"/>
        <v>20</v>
      </c>
      <c r="G11" t="str">
        <f t="shared" si="1"/>
        <v>Saturday</v>
      </c>
      <c r="H11" t="str">
        <f t="shared" si="2"/>
        <v>January</v>
      </c>
    </row>
    <row r="12" spans="1:8" x14ac:dyDescent="0.35">
      <c r="A12" s="1">
        <v>46025</v>
      </c>
      <c r="B12" t="s">
        <v>13</v>
      </c>
      <c r="C12" t="s">
        <v>16</v>
      </c>
      <c r="D12">
        <v>3</v>
      </c>
      <c r="E12" s="4">
        <v>4.75</v>
      </c>
      <c r="F12" s="4">
        <f t="shared" si="0"/>
        <v>14.25</v>
      </c>
      <c r="G12" t="str">
        <f t="shared" si="1"/>
        <v>Saturday</v>
      </c>
      <c r="H12" t="str">
        <f t="shared" si="2"/>
        <v>January</v>
      </c>
    </row>
    <row r="13" spans="1:8" x14ac:dyDescent="0.35">
      <c r="A13" s="1">
        <v>46026</v>
      </c>
      <c r="B13" t="s">
        <v>8</v>
      </c>
      <c r="C13" t="s">
        <v>16</v>
      </c>
      <c r="D13">
        <v>2</v>
      </c>
      <c r="E13" s="4">
        <v>4.25</v>
      </c>
      <c r="F13" s="4">
        <f t="shared" si="0"/>
        <v>8.5</v>
      </c>
      <c r="G13" t="str">
        <f t="shared" si="1"/>
        <v>Sunday</v>
      </c>
      <c r="H13" t="str">
        <f t="shared" si="2"/>
        <v>January</v>
      </c>
    </row>
    <row r="14" spans="1:8" x14ac:dyDescent="0.35">
      <c r="A14" s="1">
        <v>46026</v>
      </c>
      <c r="B14" t="s">
        <v>11</v>
      </c>
      <c r="C14" t="s">
        <v>18</v>
      </c>
      <c r="D14">
        <v>1</v>
      </c>
      <c r="E14" s="4">
        <v>6.5</v>
      </c>
      <c r="F14" s="4">
        <f t="shared" si="0"/>
        <v>6.5</v>
      </c>
      <c r="G14" t="str">
        <f t="shared" si="1"/>
        <v>Sunday</v>
      </c>
      <c r="H14" t="str">
        <f t="shared" si="2"/>
        <v>January</v>
      </c>
    </row>
    <row r="15" spans="1:8" x14ac:dyDescent="0.35">
      <c r="A15" s="1">
        <v>46026</v>
      </c>
      <c r="B15" t="s">
        <v>15</v>
      </c>
      <c r="C15" t="s">
        <v>16</v>
      </c>
      <c r="D15">
        <v>6</v>
      </c>
      <c r="E15" s="4">
        <v>4.5</v>
      </c>
      <c r="F15" s="4">
        <f t="shared" si="0"/>
        <v>27</v>
      </c>
      <c r="G15" t="str">
        <f t="shared" si="1"/>
        <v>Sunday</v>
      </c>
      <c r="H15" t="str">
        <f t="shared" si="2"/>
        <v>January</v>
      </c>
    </row>
    <row r="16" spans="1:8" x14ac:dyDescent="0.35">
      <c r="A16" s="1">
        <v>46027</v>
      </c>
      <c r="B16" t="s">
        <v>9</v>
      </c>
      <c r="C16" t="s">
        <v>17</v>
      </c>
      <c r="D16">
        <v>4</v>
      </c>
      <c r="E16" s="4">
        <v>3.75</v>
      </c>
      <c r="F16" s="4">
        <f t="shared" si="0"/>
        <v>15</v>
      </c>
      <c r="G16" t="str">
        <f t="shared" si="1"/>
        <v>Monday</v>
      </c>
      <c r="H16" t="str">
        <f t="shared" si="2"/>
        <v>January</v>
      </c>
    </row>
    <row r="17" spans="1:8" x14ac:dyDescent="0.35">
      <c r="A17" s="1">
        <v>46027</v>
      </c>
      <c r="B17" t="s">
        <v>12</v>
      </c>
      <c r="C17" t="s">
        <v>17</v>
      </c>
      <c r="D17">
        <v>2</v>
      </c>
      <c r="E17" s="4">
        <v>2.5</v>
      </c>
      <c r="F17" s="4">
        <f t="shared" si="0"/>
        <v>5</v>
      </c>
      <c r="G17" t="str">
        <f t="shared" si="1"/>
        <v>Monday</v>
      </c>
      <c r="H17" t="str">
        <f t="shared" si="2"/>
        <v>January</v>
      </c>
    </row>
    <row r="18" spans="1:8" x14ac:dyDescent="0.35">
      <c r="A18" s="1">
        <v>46027</v>
      </c>
      <c r="B18" t="s">
        <v>14</v>
      </c>
      <c r="C18" t="s">
        <v>16</v>
      </c>
      <c r="D18">
        <v>3</v>
      </c>
      <c r="E18" s="4">
        <v>5.5</v>
      </c>
      <c r="F18" s="4">
        <f t="shared" si="0"/>
        <v>16.5</v>
      </c>
      <c r="G18" t="str">
        <f t="shared" si="1"/>
        <v>Monday</v>
      </c>
      <c r="H18" t="str">
        <f t="shared" si="2"/>
        <v>January</v>
      </c>
    </row>
    <row r="19" spans="1:8" x14ac:dyDescent="0.35">
      <c r="A19" s="1">
        <v>46028</v>
      </c>
      <c r="B19" t="s">
        <v>7</v>
      </c>
      <c r="C19" t="s">
        <v>16</v>
      </c>
      <c r="D19">
        <v>1</v>
      </c>
      <c r="E19" s="4">
        <v>3.5</v>
      </c>
      <c r="F19" s="4">
        <f t="shared" si="0"/>
        <v>3.5</v>
      </c>
      <c r="G19" t="str">
        <f t="shared" si="1"/>
        <v>Tuesday</v>
      </c>
      <c r="H19" t="str">
        <f t="shared" si="2"/>
        <v>January</v>
      </c>
    </row>
    <row r="20" spans="1:8" x14ac:dyDescent="0.35">
      <c r="A20" s="1">
        <v>46028</v>
      </c>
      <c r="B20" t="s">
        <v>10</v>
      </c>
      <c r="C20" t="s">
        <v>17</v>
      </c>
      <c r="D20">
        <v>3</v>
      </c>
      <c r="E20" s="4">
        <v>3.25</v>
      </c>
      <c r="F20" s="4">
        <f t="shared" si="0"/>
        <v>9.75</v>
      </c>
      <c r="G20" t="str">
        <f t="shared" si="1"/>
        <v>Tuesday</v>
      </c>
      <c r="H20" t="str">
        <f t="shared" si="2"/>
        <v>January</v>
      </c>
    </row>
    <row r="21" spans="1:8" x14ac:dyDescent="0.35">
      <c r="A21" s="1">
        <v>46028</v>
      </c>
      <c r="B21" t="s">
        <v>13</v>
      </c>
      <c r="C21" t="s">
        <v>16</v>
      </c>
      <c r="D21">
        <v>5</v>
      </c>
      <c r="E21" s="4">
        <v>4.75</v>
      </c>
      <c r="F21" s="4">
        <f t="shared" si="0"/>
        <v>23.75</v>
      </c>
      <c r="G21" t="str">
        <f t="shared" si="1"/>
        <v>Tuesday</v>
      </c>
      <c r="H21" t="str">
        <f t="shared" si="2"/>
        <v>January</v>
      </c>
    </row>
    <row r="22" spans="1:8" x14ac:dyDescent="0.35">
      <c r="A22" s="1">
        <v>46029</v>
      </c>
      <c r="B22" t="s">
        <v>6</v>
      </c>
      <c r="C22" t="s">
        <v>16</v>
      </c>
      <c r="D22">
        <v>2</v>
      </c>
      <c r="E22" s="4">
        <v>4.5</v>
      </c>
      <c r="F22" s="4">
        <f t="shared" si="0"/>
        <v>9</v>
      </c>
      <c r="G22" t="str">
        <f t="shared" si="1"/>
        <v>Wednesday</v>
      </c>
      <c r="H22" t="str">
        <f t="shared" si="2"/>
        <v>January</v>
      </c>
    </row>
    <row r="23" spans="1:8" x14ac:dyDescent="0.35">
      <c r="A23" s="1">
        <v>46029</v>
      </c>
      <c r="B23" t="s">
        <v>8</v>
      </c>
      <c r="C23" t="s">
        <v>16</v>
      </c>
      <c r="D23">
        <v>4</v>
      </c>
      <c r="E23" s="4">
        <v>4.25</v>
      </c>
      <c r="F23" s="4">
        <f t="shared" si="0"/>
        <v>17</v>
      </c>
      <c r="G23" t="str">
        <f t="shared" si="1"/>
        <v>Wednesday</v>
      </c>
      <c r="H23" t="str">
        <f t="shared" si="2"/>
        <v>January</v>
      </c>
    </row>
    <row r="24" spans="1:8" x14ac:dyDescent="0.35">
      <c r="A24" s="1">
        <v>46029</v>
      </c>
      <c r="B24" t="s">
        <v>11</v>
      </c>
      <c r="C24" t="s">
        <v>18</v>
      </c>
      <c r="D24">
        <v>2</v>
      </c>
      <c r="E24" s="4">
        <v>6.5</v>
      </c>
      <c r="F24" s="4">
        <f t="shared" si="0"/>
        <v>13</v>
      </c>
      <c r="G24" t="str">
        <f t="shared" si="1"/>
        <v>Wednesday</v>
      </c>
      <c r="H24" t="str">
        <f t="shared" si="2"/>
        <v>January</v>
      </c>
    </row>
    <row r="25" spans="1:8" x14ac:dyDescent="0.35">
      <c r="A25" s="1">
        <v>46030</v>
      </c>
      <c r="B25" t="s">
        <v>15</v>
      </c>
      <c r="C25" t="s">
        <v>16</v>
      </c>
      <c r="D25">
        <v>1</v>
      </c>
      <c r="E25" s="4">
        <v>4.5</v>
      </c>
      <c r="F25" s="4">
        <f t="shared" si="0"/>
        <v>4.5</v>
      </c>
      <c r="G25" t="str">
        <f t="shared" si="1"/>
        <v>Thursday</v>
      </c>
      <c r="H25" t="str">
        <f t="shared" si="2"/>
        <v>January</v>
      </c>
    </row>
    <row r="26" spans="1:8" x14ac:dyDescent="0.35">
      <c r="A26" s="1">
        <v>46030</v>
      </c>
      <c r="B26" t="s">
        <v>12</v>
      </c>
      <c r="C26" t="s">
        <v>17</v>
      </c>
      <c r="D26">
        <v>10</v>
      </c>
      <c r="E26" s="4">
        <v>2.5</v>
      </c>
      <c r="F26" s="4">
        <f t="shared" si="0"/>
        <v>25</v>
      </c>
      <c r="G26" t="str">
        <f t="shared" si="1"/>
        <v>Thursday</v>
      </c>
      <c r="H26" t="str">
        <f t="shared" si="2"/>
        <v>January</v>
      </c>
    </row>
    <row r="27" spans="1:8" x14ac:dyDescent="0.35">
      <c r="A27" s="1">
        <v>46030</v>
      </c>
      <c r="B27" t="s">
        <v>10</v>
      </c>
      <c r="C27" t="s">
        <v>17</v>
      </c>
      <c r="D27">
        <v>2</v>
      </c>
      <c r="E27" s="4">
        <v>3.25</v>
      </c>
      <c r="F27" s="4">
        <f t="shared" si="0"/>
        <v>6.5</v>
      </c>
      <c r="G27" t="str">
        <f t="shared" si="1"/>
        <v>Thursday</v>
      </c>
      <c r="H27" t="str">
        <f t="shared" si="2"/>
        <v>January</v>
      </c>
    </row>
    <row r="28" spans="1:8" x14ac:dyDescent="0.35">
      <c r="A28" s="1">
        <v>46031</v>
      </c>
      <c r="B28" t="s">
        <v>14</v>
      </c>
      <c r="C28" t="s">
        <v>16</v>
      </c>
      <c r="D28">
        <v>4</v>
      </c>
      <c r="E28" s="4">
        <v>5.5</v>
      </c>
      <c r="F28" s="4">
        <f t="shared" si="0"/>
        <v>22</v>
      </c>
      <c r="G28" t="str">
        <f t="shared" si="1"/>
        <v>Friday</v>
      </c>
      <c r="H28" t="str">
        <f t="shared" si="2"/>
        <v>January</v>
      </c>
    </row>
    <row r="29" spans="1:8" x14ac:dyDescent="0.35">
      <c r="A29" s="1">
        <v>46031</v>
      </c>
      <c r="B29" t="s">
        <v>9</v>
      </c>
      <c r="C29" t="s">
        <v>17</v>
      </c>
      <c r="D29">
        <v>3</v>
      </c>
      <c r="E29" s="4">
        <v>3.75</v>
      </c>
      <c r="F29" s="4">
        <f t="shared" si="0"/>
        <v>11.25</v>
      </c>
      <c r="G29" t="str">
        <f t="shared" si="1"/>
        <v>Friday</v>
      </c>
      <c r="H29" t="str">
        <f t="shared" si="2"/>
        <v>January</v>
      </c>
    </row>
    <row r="30" spans="1:8" x14ac:dyDescent="0.35">
      <c r="A30" s="1">
        <v>46031</v>
      </c>
      <c r="B30" t="s">
        <v>7</v>
      </c>
      <c r="C30" t="s">
        <v>16</v>
      </c>
      <c r="D30">
        <v>2</v>
      </c>
      <c r="E30" s="4">
        <v>3.5</v>
      </c>
      <c r="F30" s="4">
        <f t="shared" si="0"/>
        <v>7</v>
      </c>
      <c r="G30" t="str">
        <f t="shared" si="1"/>
        <v>Friday</v>
      </c>
      <c r="H30" t="str">
        <f t="shared" si="2"/>
        <v>January</v>
      </c>
    </row>
    <row r="31" spans="1:8" x14ac:dyDescent="0.35">
      <c r="A31" s="1">
        <v>46032</v>
      </c>
      <c r="B31" t="s">
        <v>8</v>
      </c>
      <c r="C31" t="s">
        <v>16</v>
      </c>
      <c r="D31">
        <v>1</v>
      </c>
      <c r="E31" s="4">
        <v>4.25</v>
      </c>
      <c r="F31" s="4">
        <f t="shared" si="0"/>
        <v>4.25</v>
      </c>
      <c r="G31" t="str">
        <f t="shared" si="1"/>
        <v>Saturday</v>
      </c>
      <c r="H31" t="str">
        <f t="shared" si="2"/>
        <v>January</v>
      </c>
    </row>
    <row r="32" spans="1:8" x14ac:dyDescent="0.35">
      <c r="A32" s="1">
        <v>46032</v>
      </c>
      <c r="B32" t="s">
        <v>13</v>
      </c>
      <c r="C32" t="s">
        <v>16</v>
      </c>
      <c r="D32">
        <v>3</v>
      </c>
      <c r="E32" s="4">
        <v>4.75</v>
      </c>
      <c r="F32" s="4">
        <f t="shared" si="0"/>
        <v>14.25</v>
      </c>
      <c r="G32" t="str">
        <f t="shared" si="1"/>
        <v>Saturday</v>
      </c>
      <c r="H32" t="str">
        <f t="shared" si="2"/>
        <v>January</v>
      </c>
    </row>
    <row r="33" spans="1:8" x14ac:dyDescent="0.35">
      <c r="A33" s="1">
        <v>46032</v>
      </c>
      <c r="B33" t="s">
        <v>11</v>
      </c>
      <c r="C33" t="s">
        <v>18</v>
      </c>
      <c r="D33">
        <v>5</v>
      </c>
      <c r="E33" s="4">
        <v>6.5</v>
      </c>
      <c r="F33" s="4">
        <f t="shared" si="0"/>
        <v>32.5</v>
      </c>
      <c r="G33" t="str">
        <f t="shared" si="1"/>
        <v>Saturday</v>
      </c>
      <c r="H33" t="str">
        <f t="shared" si="2"/>
        <v>January</v>
      </c>
    </row>
    <row r="34" spans="1:8" x14ac:dyDescent="0.35">
      <c r="A34" s="1">
        <v>46033</v>
      </c>
      <c r="B34" t="s">
        <v>6</v>
      </c>
      <c r="C34" t="s">
        <v>16</v>
      </c>
      <c r="D34">
        <v>4</v>
      </c>
      <c r="E34" s="4">
        <v>4.5</v>
      </c>
      <c r="F34" s="4">
        <f t="shared" si="0"/>
        <v>18</v>
      </c>
      <c r="G34" t="str">
        <f t="shared" si="1"/>
        <v>Sunday</v>
      </c>
      <c r="H34" t="str">
        <f t="shared" si="2"/>
        <v>January</v>
      </c>
    </row>
    <row r="35" spans="1:8" x14ac:dyDescent="0.35">
      <c r="A35" s="1">
        <v>46033</v>
      </c>
      <c r="B35" t="s">
        <v>12</v>
      </c>
      <c r="C35" t="s">
        <v>17</v>
      </c>
      <c r="D35">
        <v>6</v>
      </c>
      <c r="E35" s="4">
        <v>2.5</v>
      </c>
      <c r="F35" s="4">
        <f t="shared" si="0"/>
        <v>15</v>
      </c>
      <c r="G35" t="str">
        <f t="shared" si="1"/>
        <v>Sunday</v>
      </c>
      <c r="H35" t="str">
        <f t="shared" si="2"/>
        <v>January</v>
      </c>
    </row>
    <row r="36" spans="1:8" x14ac:dyDescent="0.35">
      <c r="A36" s="1">
        <v>46033</v>
      </c>
      <c r="B36" t="s">
        <v>15</v>
      </c>
      <c r="C36" t="s">
        <v>16</v>
      </c>
      <c r="D36">
        <v>2</v>
      </c>
      <c r="E36" s="4">
        <v>4.5</v>
      </c>
      <c r="F36" s="4">
        <f t="shared" si="0"/>
        <v>9</v>
      </c>
      <c r="G36" t="str">
        <f t="shared" si="1"/>
        <v>Sunday</v>
      </c>
      <c r="H36" t="str">
        <f t="shared" si="2"/>
        <v>January</v>
      </c>
    </row>
    <row r="37" spans="1:8" x14ac:dyDescent="0.35">
      <c r="A37" s="1">
        <v>46034</v>
      </c>
      <c r="B37" t="s">
        <v>10</v>
      </c>
      <c r="C37" t="s">
        <v>17</v>
      </c>
      <c r="D37">
        <v>1</v>
      </c>
      <c r="E37" s="4">
        <v>3.25</v>
      </c>
      <c r="F37" s="4">
        <f t="shared" si="0"/>
        <v>3.25</v>
      </c>
      <c r="G37" t="str">
        <f t="shared" si="1"/>
        <v>Monday</v>
      </c>
      <c r="H37" t="str">
        <f t="shared" si="2"/>
        <v>January</v>
      </c>
    </row>
    <row r="38" spans="1:8" x14ac:dyDescent="0.35">
      <c r="A38" s="1">
        <v>46034</v>
      </c>
      <c r="B38" t="s">
        <v>14</v>
      </c>
      <c r="C38" t="s">
        <v>16</v>
      </c>
      <c r="D38">
        <v>5</v>
      </c>
      <c r="E38" s="4">
        <v>5.5</v>
      </c>
      <c r="F38" s="4">
        <f t="shared" si="0"/>
        <v>27.5</v>
      </c>
      <c r="G38" t="str">
        <f t="shared" si="1"/>
        <v>Monday</v>
      </c>
      <c r="H38" t="str">
        <f t="shared" si="2"/>
        <v>January</v>
      </c>
    </row>
    <row r="39" spans="1:8" x14ac:dyDescent="0.35">
      <c r="A39" s="1">
        <v>46034</v>
      </c>
      <c r="B39" t="s">
        <v>9</v>
      </c>
      <c r="C39" t="s">
        <v>17</v>
      </c>
      <c r="D39">
        <v>2</v>
      </c>
      <c r="E39" s="4">
        <v>3.75</v>
      </c>
      <c r="F39" s="4">
        <f t="shared" si="0"/>
        <v>7.5</v>
      </c>
      <c r="G39" t="str">
        <f t="shared" si="1"/>
        <v>Monday</v>
      </c>
      <c r="H39" t="str">
        <f t="shared" si="2"/>
        <v>January</v>
      </c>
    </row>
    <row r="40" spans="1:8" x14ac:dyDescent="0.35">
      <c r="A40" s="1">
        <v>46035</v>
      </c>
      <c r="B40" t="s">
        <v>7</v>
      </c>
      <c r="C40" t="s">
        <v>16</v>
      </c>
      <c r="D40">
        <v>3</v>
      </c>
      <c r="E40" s="4">
        <v>3.5</v>
      </c>
      <c r="F40" s="4">
        <f t="shared" si="0"/>
        <v>10.5</v>
      </c>
      <c r="G40" t="str">
        <f t="shared" si="1"/>
        <v>Tuesday</v>
      </c>
      <c r="H40" t="str">
        <f t="shared" si="2"/>
        <v>January</v>
      </c>
    </row>
    <row r="41" spans="1:8" x14ac:dyDescent="0.35">
      <c r="A41" s="1">
        <v>46035</v>
      </c>
      <c r="B41" t="s">
        <v>8</v>
      </c>
      <c r="C41" t="s">
        <v>16</v>
      </c>
      <c r="D41">
        <v>2</v>
      </c>
      <c r="E41" s="4">
        <v>4.25</v>
      </c>
      <c r="F41" s="4">
        <f t="shared" si="0"/>
        <v>8.5</v>
      </c>
      <c r="G41" t="str">
        <f t="shared" si="1"/>
        <v>Tuesday</v>
      </c>
      <c r="H41" t="str">
        <f t="shared" si="2"/>
        <v>January</v>
      </c>
    </row>
    <row r="42" spans="1:8" x14ac:dyDescent="0.35">
      <c r="A42" s="1">
        <v>46035</v>
      </c>
      <c r="B42" t="s">
        <v>11</v>
      </c>
      <c r="C42" t="s">
        <v>18</v>
      </c>
      <c r="D42">
        <v>4</v>
      </c>
      <c r="E42" s="4">
        <v>6.5</v>
      </c>
      <c r="F42" s="4">
        <f t="shared" si="0"/>
        <v>26</v>
      </c>
      <c r="G42" t="str">
        <f t="shared" si="1"/>
        <v>Tuesday</v>
      </c>
      <c r="H42" t="str">
        <f t="shared" si="2"/>
        <v>January</v>
      </c>
    </row>
    <row r="43" spans="1:8" x14ac:dyDescent="0.35">
      <c r="A43" s="1">
        <v>46036</v>
      </c>
      <c r="B43" t="s">
        <v>13</v>
      </c>
      <c r="C43" t="s">
        <v>16</v>
      </c>
      <c r="D43">
        <v>1</v>
      </c>
      <c r="E43" s="4">
        <v>4.75</v>
      </c>
      <c r="F43" s="4">
        <f t="shared" si="0"/>
        <v>4.75</v>
      </c>
      <c r="G43" t="str">
        <f t="shared" si="1"/>
        <v>Wednesday</v>
      </c>
      <c r="H43" t="str">
        <f t="shared" si="2"/>
        <v>January</v>
      </c>
    </row>
    <row r="44" spans="1:8" x14ac:dyDescent="0.35">
      <c r="A44" s="1">
        <v>46036</v>
      </c>
      <c r="B44" t="s">
        <v>6</v>
      </c>
      <c r="C44" t="s">
        <v>16</v>
      </c>
      <c r="D44">
        <v>3</v>
      </c>
      <c r="E44" s="4">
        <v>4.5</v>
      </c>
      <c r="F44" s="4">
        <f t="shared" si="0"/>
        <v>13.5</v>
      </c>
      <c r="G44" t="str">
        <f t="shared" si="1"/>
        <v>Wednesday</v>
      </c>
      <c r="H44" t="str">
        <f t="shared" si="2"/>
        <v>January</v>
      </c>
    </row>
    <row r="45" spans="1:8" x14ac:dyDescent="0.35">
      <c r="A45" s="1">
        <v>46036</v>
      </c>
      <c r="B45" t="s">
        <v>12</v>
      </c>
      <c r="C45" t="s">
        <v>17</v>
      </c>
      <c r="D45">
        <v>7</v>
      </c>
      <c r="E45" s="4">
        <v>2.5</v>
      </c>
      <c r="F45" s="4">
        <f t="shared" si="0"/>
        <v>17.5</v>
      </c>
      <c r="G45" t="str">
        <f t="shared" si="1"/>
        <v>Wednesday</v>
      </c>
      <c r="H45" t="str">
        <f t="shared" si="2"/>
        <v>January</v>
      </c>
    </row>
    <row r="46" spans="1:8" x14ac:dyDescent="0.35">
      <c r="A46" s="1">
        <v>46037</v>
      </c>
      <c r="B46" t="s">
        <v>15</v>
      </c>
      <c r="C46" t="s">
        <v>16</v>
      </c>
      <c r="D46">
        <v>5</v>
      </c>
      <c r="E46" s="4">
        <v>4.5</v>
      </c>
      <c r="F46" s="4">
        <f t="shared" si="0"/>
        <v>22.5</v>
      </c>
      <c r="G46" t="str">
        <f t="shared" si="1"/>
        <v>Thursday</v>
      </c>
      <c r="H46" t="str">
        <f t="shared" si="2"/>
        <v>January</v>
      </c>
    </row>
    <row r="47" spans="1:8" x14ac:dyDescent="0.35">
      <c r="A47" s="1">
        <v>46037</v>
      </c>
      <c r="B47" t="s">
        <v>10</v>
      </c>
      <c r="C47" t="s">
        <v>17</v>
      </c>
      <c r="D47">
        <v>4</v>
      </c>
      <c r="E47" s="4">
        <v>3.25</v>
      </c>
      <c r="F47" s="4">
        <f t="shared" si="0"/>
        <v>13</v>
      </c>
      <c r="G47" t="str">
        <f t="shared" si="1"/>
        <v>Thursday</v>
      </c>
      <c r="H47" t="str">
        <f t="shared" si="2"/>
        <v>January</v>
      </c>
    </row>
    <row r="48" spans="1:8" x14ac:dyDescent="0.35">
      <c r="A48" s="1">
        <v>46037</v>
      </c>
      <c r="B48" t="s">
        <v>14</v>
      </c>
      <c r="C48" t="s">
        <v>16</v>
      </c>
      <c r="D48">
        <v>2</v>
      </c>
      <c r="E48" s="4">
        <v>5.5</v>
      </c>
      <c r="F48" s="4">
        <f t="shared" si="0"/>
        <v>11</v>
      </c>
      <c r="G48" t="str">
        <f t="shared" si="1"/>
        <v>Thursday</v>
      </c>
      <c r="H48" t="str">
        <f t="shared" si="2"/>
        <v>January</v>
      </c>
    </row>
    <row r="49" spans="1:8" x14ac:dyDescent="0.35">
      <c r="A49" s="1">
        <v>46038</v>
      </c>
      <c r="B49" t="s">
        <v>9</v>
      </c>
      <c r="C49" t="s">
        <v>17</v>
      </c>
      <c r="D49">
        <v>1</v>
      </c>
      <c r="E49" s="4">
        <v>3.75</v>
      </c>
      <c r="F49" s="4">
        <f t="shared" si="0"/>
        <v>3.75</v>
      </c>
      <c r="G49" t="str">
        <f t="shared" si="1"/>
        <v>Friday</v>
      </c>
      <c r="H49" t="str">
        <f t="shared" si="2"/>
        <v>January</v>
      </c>
    </row>
    <row r="50" spans="1:8" x14ac:dyDescent="0.35">
      <c r="A50" s="1">
        <v>46038</v>
      </c>
      <c r="B50" t="s">
        <v>11</v>
      </c>
      <c r="C50" t="s">
        <v>18</v>
      </c>
      <c r="D50">
        <v>3</v>
      </c>
      <c r="E50" s="4">
        <v>6.5</v>
      </c>
      <c r="F50" s="4">
        <f t="shared" si="0"/>
        <v>19.5</v>
      </c>
      <c r="G50" t="str">
        <f t="shared" si="1"/>
        <v>Friday</v>
      </c>
      <c r="H50" t="str">
        <f t="shared" si="2"/>
        <v>January</v>
      </c>
    </row>
    <row r="51" spans="1:8" x14ac:dyDescent="0.35">
      <c r="A51" s="1">
        <v>46038</v>
      </c>
      <c r="B51" t="s">
        <v>7</v>
      </c>
      <c r="C51" t="s">
        <v>16</v>
      </c>
      <c r="D51">
        <v>6</v>
      </c>
      <c r="E51" s="4">
        <v>3.5</v>
      </c>
      <c r="F51" s="4">
        <f t="shared" si="0"/>
        <v>21</v>
      </c>
      <c r="G51" t="str">
        <f t="shared" si="1"/>
        <v>Friday</v>
      </c>
      <c r="H51" t="str">
        <f t="shared" si="2"/>
        <v>January</v>
      </c>
    </row>
    <row r="52" spans="1:8" x14ac:dyDescent="0.35">
      <c r="A52" s="1">
        <v>46039</v>
      </c>
      <c r="B52" t="s">
        <v>8</v>
      </c>
      <c r="C52" t="s">
        <v>16</v>
      </c>
      <c r="D52">
        <v>2</v>
      </c>
      <c r="E52" s="4">
        <v>4.25</v>
      </c>
      <c r="F52" s="4">
        <f t="shared" si="0"/>
        <v>8.5</v>
      </c>
      <c r="G52" t="str">
        <f t="shared" si="1"/>
        <v>Saturday</v>
      </c>
      <c r="H52" t="str">
        <f t="shared" si="2"/>
        <v>January</v>
      </c>
    </row>
    <row r="53" spans="1:8" x14ac:dyDescent="0.35">
      <c r="A53" s="1">
        <v>46039</v>
      </c>
      <c r="B53" t="s">
        <v>13</v>
      </c>
      <c r="C53" t="s">
        <v>16</v>
      </c>
      <c r="D53">
        <v>4</v>
      </c>
      <c r="E53" s="4">
        <v>4.75</v>
      </c>
      <c r="F53" s="4">
        <f t="shared" si="0"/>
        <v>19</v>
      </c>
      <c r="G53" t="str">
        <f t="shared" si="1"/>
        <v>Saturday</v>
      </c>
      <c r="H53" t="str">
        <f t="shared" si="2"/>
        <v>January</v>
      </c>
    </row>
    <row r="54" spans="1:8" x14ac:dyDescent="0.35">
      <c r="A54" s="1">
        <v>46039</v>
      </c>
      <c r="B54" t="s">
        <v>6</v>
      </c>
      <c r="C54" t="s">
        <v>16</v>
      </c>
      <c r="D54">
        <v>1</v>
      </c>
      <c r="E54" s="4">
        <v>4.5</v>
      </c>
      <c r="F54" s="4">
        <f t="shared" si="0"/>
        <v>4.5</v>
      </c>
      <c r="G54" t="str">
        <f t="shared" si="1"/>
        <v>Saturday</v>
      </c>
      <c r="H54" t="str">
        <f t="shared" si="2"/>
        <v>January</v>
      </c>
    </row>
    <row r="55" spans="1:8" x14ac:dyDescent="0.35">
      <c r="A55" s="1">
        <v>46040</v>
      </c>
      <c r="B55" t="s">
        <v>12</v>
      </c>
      <c r="C55" t="s">
        <v>17</v>
      </c>
      <c r="D55">
        <v>12</v>
      </c>
      <c r="E55" s="4">
        <v>2.5</v>
      </c>
      <c r="F55" s="4">
        <f t="shared" si="0"/>
        <v>30</v>
      </c>
      <c r="G55" t="str">
        <f t="shared" si="1"/>
        <v>Sunday</v>
      </c>
      <c r="H55" t="str">
        <f t="shared" si="2"/>
        <v>January</v>
      </c>
    </row>
    <row r="56" spans="1:8" x14ac:dyDescent="0.35">
      <c r="A56" s="1">
        <v>46040</v>
      </c>
      <c r="B56" t="s">
        <v>15</v>
      </c>
      <c r="C56" t="s">
        <v>16</v>
      </c>
      <c r="D56">
        <v>3</v>
      </c>
      <c r="E56" s="4">
        <v>4.5</v>
      </c>
      <c r="F56" s="4">
        <f t="shared" si="0"/>
        <v>13.5</v>
      </c>
      <c r="G56" t="str">
        <f t="shared" si="1"/>
        <v>Sunday</v>
      </c>
      <c r="H56" t="str">
        <f t="shared" si="2"/>
        <v>January</v>
      </c>
    </row>
    <row r="57" spans="1:8" x14ac:dyDescent="0.35">
      <c r="A57" s="1">
        <v>46040</v>
      </c>
      <c r="B57" t="s">
        <v>10</v>
      </c>
      <c r="C57" t="s">
        <v>17</v>
      </c>
      <c r="D57">
        <v>2</v>
      </c>
      <c r="E57" s="4">
        <v>3.25</v>
      </c>
      <c r="F57" s="4">
        <f t="shared" si="0"/>
        <v>6.5</v>
      </c>
      <c r="G57" t="str">
        <f t="shared" si="1"/>
        <v>Sunday</v>
      </c>
      <c r="H57" t="str">
        <f t="shared" si="2"/>
        <v>January</v>
      </c>
    </row>
    <row r="58" spans="1:8" x14ac:dyDescent="0.35">
      <c r="A58" s="1">
        <v>46041</v>
      </c>
      <c r="B58" t="s">
        <v>14</v>
      </c>
      <c r="C58" t="s">
        <v>16</v>
      </c>
      <c r="D58">
        <v>1</v>
      </c>
      <c r="E58" s="4">
        <v>5.5</v>
      </c>
      <c r="F58" s="4">
        <f t="shared" si="0"/>
        <v>5.5</v>
      </c>
      <c r="G58" t="str">
        <f t="shared" si="1"/>
        <v>Monday</v>
      </c>
      <c r="H58" t="str">
        <f t="shared" si="2"/>
        <v>January</v>
      </c>
    </row>
    <row r="59" spans="1:8" x14ac:dyDescent="0.35">
      <c r="A59" s="1">
        <v>46041</v>
      </c>
      <c r="B59" t="s">
        <v>9</v>
      </c>
      <c r="C59" t="s">
        <v>17</v>
      </c>
      <c r="D59">
        <v>5</v>
      </c>
      <c r="E59" s="4">
        <v>3.75</v>
      </c>
      <c r="F59" s="4">
        <f t="shared" si="0"/>
        <v>18.75</v>
      </c>
      <c r="G59" t="str">
        <f t="shared" si="1"/>
        <v>Monday</v>
      </c>
      <c r="H59" t="str">
        <f t="shared" si="2"/>
        <v>January</v>
      </c>
    </row>
    <row r="60" spans="1:8" x14ac:dyDescent="0.35">
      <c r="A60" s="1">
        <v>46041</v>
      </c>
      <c r="B60" t="s">
        <v>11</v>
      </c>
      <c r="C60" t="s">
        <v>18</v>
      </c>
      <c r="D60">
        <v>2</v>
      </c>
      <c r="E60" s="4">
        <v>6.5</v>
      </c>
      <c r="F60" s="4">
        <f t="shared" si="0"/>
        <v>13</v>
      </c>
      <c r="G60" t="str">
        <f t="shared" si="1"/>
        <v>Monday</v>
      </c>
      <c r="H60" t="str">
        <f t="shared" si="2"/>
        <v>January</v>
      </c>
    </row>
    <row r="61" spans="1:8" x14ac:dyDescent="0.35">
      <c r="A61" s="1">
        <v>46042</v>
      </c>
      <c r="B61" t="s">
        <v>7</v>
      </c>
      <c r="C61" t="s">
        <v>16</v>
      </c>
      <c r="D61">
        <v>4</v>
      </c>
      <c r="E61" s="4">
        <v>3.5</v>
      </c>
      <c r="F61" s="4">
        <f t="shared" si="0"/>
        <v>14</v>
      </c>
      <c r="G61" t="str">
        <f t="shared" si="1"/>
        <v>Tuesday</v>
      </c>
      <c r="H61" t="str">
        <f t="shared" si="2"/>
        <v>January</v>
      </c>
    </row>
    <row r="62" spans="1:8" x14ac:dyDescent="0.35">
      <c r="A62" s="1">
        <v>46042</v>
      </c>
      <c r="B62" t="s">
        <v>8</v>
      </c>
      <c r="C62" t="s">
        <v>16</v>
      </c>
      <c r="D62">
        <v>3</v>
      </c>
      <c r="E62" s="4">
        <v>4.25</v>
      </c>
      <c r="F62" s="4">
        <f t="shared" si="0"/>
        <v>12.75</v>
      </c>
      <c r="G62" t="str">
        <f t="shared" si="1"/>
        <v>Tuesday</v>
      </c>
      <c r="H62" t="str">
        <f t="shared" si="2"/>
        <v>January</v>
      </c>
    </row>
    <row r="63" spans="1:8" x14ac:dyDescent="0.35">
      <c r="A63" s="1">
        <v>46042</v>
      </c>
      <c r="B63" t="s">
        <v>13</v>
      </c>
      <c r="C63" t="s">
        <v>16</v>
      </c>
      <c r="D63">
        <v>2</v>
      </c>
      <c r="E63" s="4">
        <v>4.75</v>
      </c>
      <c r="F63" s="4">
        <f t="shared" si="0"/>
        <v>9.5</v>
      </c>
      <c r="G63" t="str">
        <f t="shared" si="1"/>
        <v>Tuesday</v>
      </c>
      <c r="H63" t="str">
        <f t="shared" si="2"/>
        <v>January</v>
      </c>
    </row>
    <row r="64" spans="1:8" x14ac:dyDescent="0.35">
      <c r="A64" s="1">
        <v>46043</v>
      </c>
      <c r="B64" t="s">
        <v>6</v>
      </c>
      <c r="C64" t="s">
        <v>16</v>
      </c>
      <c r="D64">
        <v>5</v>
      </c>
      <c r="E64" s="4">
        <v>4.5</v>
      </c>
      <c r="F64" s="4">
        <f t="shared" si="0"/>
        <v>22.5</v>
      </c>
      <c r="G64" t="str">
        <f t="shared" si="1"/>
        <v>Wednesday</v>
      </c>
      <c r="H64" t="str">
        <f t="shared" si="2"/>
        <v>January</v>
      </c>
    </row>
    <row r="65" spans="1:8" x14ac:dyDescent="0.35">
      <c r="A65" s="1">
        <v>46043</v>
      </c>
      <c r="B65" t="s">
        <v>12</v>
      </c>
      <c r="C65" t="s">
        <v>17</v>
      </c>
      <c r="D65">
        <v>4</v>
      </c>
      <c r="E65" s="4">
        <v>2.5</v>
      </c>
      <c r="F65" s="4">
        <f t="shared" si="0"/>
        <v>10</v>
      </c>
      <c r="G65" t="str">
        <f t="shared" si="1"/>
        <v>Wednesday</v>
      </c>
      <c r="H65" t="str">
        <f t="shared" si="2"/>
        <v>January</v>
      </c>
    </row>
    <row r="66" spans="1:8" x14ac:dyDescent="0.35">
      <c r="A66" s="1">
        <v>46043</v>
      </c>
      <c r="B66" t="s">
        <v>15</v>
      </c>
      <c r="C66" t="s">
        <v>16</v>
      </c>
      <c r="D66">
        <v>1</v>
      </c>
      <c r="E66" s="4">
        <v>4.5</v>
      </c>
      <c r="F66" s="4">
        <f t="shared" si="0"/>
        <v>4.5</v>
      </c>
      <c r="G66" t="str">
        <f t="shared" si="1"/>
        <v>Wednesday</v>
      </c>
      <c r="H66" t="str">
        <f t="shared" si="2"/>
        <v>January</v>
      </c>
    </row>
    <row r="67" spans="1:8" x14ac:dyDescent="0.35">
      <c r="A67" s="1">
        <v>46044</v>
      </c>
      <c r="B67" t="s">
        <v>10</v>
      </c>
      <c r="C67" t="s">
        <v>17</v>
      </c>
      <c r="D67">
        <v>3</v>
      </c>
      <c r="E67" s="4">
        <v>3.25</v>
      </c>
      <c r="F67" s="4">
        <f t="shared" si="0"/>
        <v>9.75</v>
      </c>
      <c r="G67" t="str">
        <f t="shared" si="1"/>
        <v>Thursday</v>
      </c>
      <c r="H67" t="str">
        <f t="shared" si="2"/>
        <v>January</v>
      </c>
    </row>
    <row r="68" spans="1:8" x14ac:dyDescent="0.35">
      <c r="A68" s="1">
        <v>46044</v>
      </c>
      <c r="B68" t="s">
        <v>14</v>
      </c>
      <c r="C68" t="s">
        <v>16</v>
      </c>
      <c r="D68">
        <v>6</v>
      </c>
      <c r="E68" s="4">
        <v>5.5</v>
      </c>
      <c r="F68" s="4">
        <f t="shared" si="0"/>
        <v>33</v>
      </c>
      <c r="G68" t="str">
        <f t="shared" si="1"/>
        <v>Thursday</v>
      </c>
      <c r="H68" t="str">
        <f t="shared" si="2"/>
        <v>January</v>
      </c>
    </row>
    <row r="69" spans="1:8" x14ac:dyDescent="0.35">
      <c r="A69" s="1">
        <v>46044</v>
      </c>
      <c r="B69" t="s">
        <v>9</v>
      </c>
      <c r="C69" t="s">
        <v>17</v>
      </c>
      <c r="D69">
        <v>2</v>
      </c>
      <c r="E69" s="4">
        <v>3.75</v>
      </c>
      <c r="F69" s="4">
        <f t="shared" ref="F69:F132" si="3">D69*E69</f>
        <v>7.5</v>
      </c>
      <c r="G69" t="str">
        <f t="shared" ref="G69:G132" si="4">TEXT(A69,"dddd")</f>
        <v>Thursday</v>
      </c>
      <c r="H69" t="str">
        <f t="shared" ref="H69:H132" si="5">TEXT(A69,"mmmm")</f>
        <v>January</v>
      </c>
    </row>
    <row r="70" spans="1:8" x14ac:dyDescent="0.35">
      <c r="A70" s="1">
        <v>46045</v>
      </c>
      <c r="B70" t="s">
        <v>11</v>
      </c>
      <c r="C70" t="s">
        <v>18</v>
      </c>
      <c r="D70">
        <v>1</v>
      </c>
      <c r="E70" s="4">
        <v>6.5</v>
      </c>
      <c r="F70" s="4">
        <f t="shared" si="3"/>
        <v>6.5</v>
      </c>
      <c r="G70" t="str">
        <f t="shared" si="4"/>
        <v>Friday</v>
      </c>
      <c r="H70" t="str">
        <f t="shared" si="5"/>
        <v>January</v>
      </c>
    </row>
    <row r="71" spans="1:8" x14ac:dyDescent="0.35">
      <c r="A71" s="1">
        <v>46045</v>
      </c>
      <c r="B71" t="s">
        <v>7</v>
      </c>
      <c r="C71" t="s">
        <v>16</v>
      </c>
      <c r="D71">
        <v>3</v>
      </c>
      <c r="E71" s="4">
        <v>3.5</v>
      </c>
      <c r="F71" s="4">
        <f t="shared" si="3"/>
        <v>10.5</v>
      </c>
      <c r="G71" t="str">
        <f t="shared" si="4"/>
        <v>Friday</v>
      </c>
      <c r="H71" t="str">
        <f t="shared" si="5"/>
        <v>January</v>
      </c>
    </row>
    <row r="72" spans="1:8" x14ac:dyDescent="0.35">
      <c r="A72" s="1">
        <v>46045</v>
      </c>
      <c r="B72" t="s">
        <v>8</v>
      </c>
      <c r="C72" t="s">
        <v>16</v>
      </c>
      <c r="D72">
        <v>5</v>
      </c>
      <c r="E72" s="4">
        <v>4.25</v>
      </c>
      <c r="F72" s="4">
        <f t="shared" si="3"/>
        <v>21.25</v>
      </c>
      <c r="G72" t="str">
        <f t="shared" si="4"/>
        <v>Friday</v>
      </c>
      <c r="H72" t="str">
        <f t="shared" si="5"/>
        <v>January</v>
      </c>
    </row>
    <row r="73" spans="1:8" x14ac:dyDescent="0.35">
      <c r="A73" s="1">
        <v>46046</v>
      </c>
      <c r="B73" t="s">
        <v>13</v>
      </c>
      <c r="C73" t="s">
        <v>16</v>
      </c>
      <c r="D73">
        <v>2</v>
      </c>
      <c r="E73" s="4">
        <v>4.75</v>
      </c>
      <c r="F73" s="4">
        <f t="shared" si="3"/>
        <v>9.5</v>
      </c>
      <c r="G73" t="str">
        <f t="shared" si="4"/>
        <v>Saturday</v>
      </c>
      <c r="H73" t="str">
        <f t="shared" si="5"/>
        <v>January</v>
      </c>
    </row>
    <row r="74" spans="1:8" x14ac:dyDescent="0.35">
      <c r="A74" s="1">
        <v>46046</v>
      </c>
      <c r="B74" t="s">
        <v>6</v>
      </c>
      <c r="C74" t="s">
        <v>16</v>
      </c>
      <c r="D74">
        <v>2</v>
      </c>
      <c r="E74" s="4">
        <v>4.5</v>
      </c>
      <c r="F74" s="4">
        <f t="shared" si="3"/>
        <v>9</v>
      </c>
      <c r="G74" t="str">
        <f t="shared" si="4"/>
        <v>Saturday</v>
      </c>
      <c r="H74" t="str">
        <f t="shared" si="5"/>
        <v>January</v>
      </c>
    </row>
    <row r="75" spans="1:8" x14ac:dyDescent="0.35">
      <c r="A75" s="1">
        <v>46046</v>
      </c>
      <c r="B75" t="s">
        <v>12</v>
      </c>
      <c r="C75" t="s">
        <v>17</v>
      </c>
      <c r="D75">
        <v>9</v>
      </c>
      <c r="E75" s="4">
        <v>2.5</v>
      </c>
      <c r="F75" s="4">
        <f t="shared" si="3"/>
        <v>22.5</v>
      </c>
      <c r="G75" t="str">
        <f t="shared" si="4"/>
        <v>Saturday</v>
      </c>
      <c r="H75" t="str">
        <f t="shared" si="5"/>
        <v>January</v>
      </c>
    </row>
    <row r="76" spans="1:8" x14ac:dyDescent="0.35">
      <c r="A76" s="1">
        <v>46047</v>
      </c>
      <c r="B76" t="s">
        <v>15</v>
      </c>
      <c r="C76" t="s">
        <v>16</v>
      </c>
      <c r="D76">
        <v>4</v>
      </c>
      <c r="E76" s="4">
        <v>4.5</v>
      </c>
      <c r="F76" s="4">
        <f t="shared" si="3"/>
        <v>18</v>
      </c>
      <c r="G76" t="str">
        <f t="shared" si="4"/>
        <v>Sunday</v>
      </c>
      <c r="H76" t="str">
        <f t="shared" si="5"/>
        <v>January</v>
      </c>
    </row>
    <row r="77" spans="1:8" x14ac:dyDescent="0.35">
      <c r="A77" s="1">
        <v>46047</v>
      </c>
      <c r="B77" t="s">
        <v>10</v>
      </c>
      <c r="C77" t="s">
        <v>17</v>
      </c>
      <c r="D77">
        <v>1</v>
      </c>
      <c r="E77" s="4">
        <v>3.25</v>
      </c>
      <c r="F77" s="4">
        <f t="shared" si="3"/>
        <v>3.25</v>
      </c>
      <c r="G77" t="str">
        <f t="shared" si="4"/>
        <v>Sunday</v>
      </c>
      <c r="H77" t="str">
        <f t="shared" si="5"/>
        <v>January</v>
      </c>
    </row>
    <row r="78" spans="1:8" x14ac:dyDescent="0.35">
      <c r="A78" s="1">
        <v>46047</v>
      </c>
      <c r="B78" t="s">
        <v>14</v>
      </c>
      <c r="C78" t="s">
        <v>16</v>
      </c>
      <c r="D78">
        <v>3</v>
      </c>
      <c r="E78" s="4">
        <v>5.5</v>
      </c>
      <c r="F78" s="4">
        <f t="shared" si="3"/>
        <v>16.5</v>
      </c>
      <c r="G78" t="str">
        <f t="shared" si="4"/>
        <v>Sunday</v>
      </c>
      <c r="H78" t="str">
        <f t="shared" si="5"/>
        <v>January</v>
      </c>
    </row>
    <row r="79" spans="1:8" x14ac:dyDescent="0.35">
      <c r="A79" s="1">
        <v>46048</v>
      </c>
      <c r="B79" t="s">
        <v>9</v>
      </c>
      <c r="C79" t="s">
        <v>17</v>
      </c>
      <c r="D79">
        <v>6</v>
      </c>
      <c r="E79" s="4">
        <v>3.75</v>
      </c>
      <c r="F79" s="4">
        <f t="shared" si="3"/>
        <v>22.5</v>
      </c>
      <c r="G79" t="str">
        <f t="shared" si="4"/>
        <v>Monday</v>
      </c>
      <c r="H79" t="str">
        <f t="shared" si="5"/>
        <v>January</v>
      </c>
    </row>
    <row r="80" spans="1:8" x14ac:dyDescent="0.35">
      <c r="A80" s="1">
        <v>46048</v>
      </c>
      <c r="B80" t="s">
        <v>11</v>
      </c>
      <c r="C80" t="s">
        <v>18</v>
      </c>
      <c r="D80">
        <v>3</v>
      </c>
      <c r="E80" s="4">
        <v>6.5</v>
      </c>
      <c r="F80" s="4">
        <f t="shared" si="3"/>
        <v>19.5</v>
      </c>
      <c r="G80" t="str">
        <f t="shared" si="4"/>
        <v>Monday</v>
      </c>
      <c r="H80" t="str">
        <f t="shared" si="5"/>
        <v>January</v>
      </c>
    </row>
    <row r="81" spans="1:8" x14ac:dyDescent="0.35">
      <c r="A81" s="1">
        <v>46048</v>
      </c>
      <c r="B81" t="s">
        <v>7</v>
      </c>
      <c r="C81" t="s">
        <v>16</v>
      </c>
      <c r="D81">
        <v>2</v>
      </c>
      <c r="E81" s="4">
        <v>3.5</v>
      </c>
      <c r="F81" s="4">
        <f t="shared" si="3"/>
        <v>7</v>
      </c>
      <c r="G81" t="str">
        <f t="shared" si="4"/>
        <v>Monday</v>
      </c>
      <c r="H81" t="str">
        <f t="shared" si="5"/>
        <v>January</v>
      </c>
    </row>
    <row r="82" spans="1:8" x14ac:dyDescent="0.35">
      <c r="A82" s="1">
        <v>46049</v>
      </c>
      <c r="B82" t="s">
        <v>8</v>
      </c>
      <c r="C82" t="s">
        <v>16</v>
      </c>
      <c r="D82">
        <v>1</v>
      </c>
      <c r="E82" s="4">
        <v>4.25</v>
      </c>
      <c r="F82" s="4">
        <f t="shared" si="3"/>
        <v>4.25</v>
      </c>
      <c r="G82" t="str">
        <f t="shared" si="4"/>
        <v>Tuesday</v>
      </c>
      <c r="H82" t="str">
        <f t="shared" si="5"/>
        <v>January</v>
      </c>
    </row>
    <row r="83" spans="1:8" x14ac:dyDescent="0.35">
      <c r="A83" s="1">
        <v>46049</v>
      </c>
      <c r="B83" t="s">
        <v>13</v>
      </c>
      <c r="C83" t="s">
        <v>16</v>
      </c>
      <c r="D83">
        <v>5</v>
      </c>
      <c r="E83" s="4">
        <v>4.75</v>
      </c>
      <c r="F83" s="4">
        <f t="shared" si="3"/>
        <v>23.75</v>
      </c>
      <c r="G83" t="str">
        <f t="shared" si="4"/>
        <v>Tuesday</v>
      </c>
      <c r="H83" t="str">
        <f t="shared" si="5"/>
        <v>January</v>
      </c>
    </row>
    <row r="84" spans="1:8" x14ac:dyDescent="0.35">
      <c r="A84" s="1">
        <v>46049</v>
      </c>
      <c r="B84" t="s">
        <v>6</v>
      </c>
      <c r="C84" t="s">
        <v>16</v>
      </c>
      <c r="D84">
        <v>3</v>
      </c>
      <c r="E84" s="4">
        <v>4.5</v>
      </c>
      <c r="F84" s="4">
        <f t="shared" si="3"/>
        <v>13.5</v>
      </c>
      <c r="G84" t="str">
        <f t="shared" si="4"/>
        <v>Tuesday</v>
      </c>
      <c r="H84" t="str">
        <f t="shared" si="5"/>
        <v>January</v>
      </c>
    </row>
    <row r="85" spans="1:8" x14ac:dyDescent="0.35">
      <c r="A85" s="1">
        <v>46050</v>
      </c>
      <c r="B85" t="s">
        <v>12</v>
      </c>
      <c r="C85" t="s">
        <v>17</v>
      </c>
      <c r="D85">
        <v>5</v>
      </c>
      <c r="E85" s="4">
        <v>2.5</v>
      </c>
      <c r="F85" s="4">
        <f t="shared" si="3"/>
        <v>12.5</v>
      </c>
      <c r="G85" t="str">
        <f t="shared" si="4"/>
        <v>Wednesday</v>
      </c>
      <c r="H85" t="str">
        <f t="shared" si="5"/>
        <v>January</v>
      </c>
    </row>
    <row r="86" spans="1:8" x14ac:dyDescent="0.35">
      <c r="A86" s="1">
        <v>46050</v>
      </c>
      <c r="B86" t="s">
        <v>15</v>
      </c>
      <c r="C86" t="s">
        <v>16</v>
      </c>
      <c r="D86">
        <v>2</v>
      </c>
      <c r="E86" s="4">
        <v>4.5</v>
      </c>
      <c r="F86" s="4">
        <f t="shared" si="3"/>
        <v>9</v>
      </c>
      <c r="G86" t="str">
        <f t="shared" si="4"/>
        <v>Wednesday</v>
      </c>
      <c r="H86" t="str">
        <f t="shared" si="5"/>
        <v>January</v>
      </c>
    </row>
    <row r="87" spans="1:8" x14ac:dyDescent="0.35">
      <c r="A87" s="1">
        <v>46050</v>
      </c>
      <c r="B87" t="s">
        <v>10</v>
      </c>
      <c r="C87" t="s">
        <v>17</v>
      </c>
      <c r="D87">
        <v>4</v>
      </c>
      <c r="E87" s="4">
        <v>3.25</v>
      </c>
      <c r="F87" s="4">
        <f t="shared" si="3"/>
        <v>13</v>
      </c>
      <c r="G87" t="str">
        <f t="shared" si="4"/>
        <v>Wednesday</v>
      </c>
      <c r="H87" t="str">
        <f t="shared" si="5"/>
        <v>January</v>
      </c>
    </row>
    <row r="88" spans="1:8" x14ac:dyDescent="0.35">
      <c r="A88" s="1">
        <v>46051</v>
      </c>
      <c r="B88" t="s">
        <v>14</v>
      </c>
      <c r="C88" t="s">
        <v>16</v>
      </c>
      <c r="D88">
        <v>2</v>
      </c>
      <c r="E88" s="4">
        <v>5.5</v>
      </c>
      <c r="F88" s="4">
        <f t="shared" si="3"/>
        <v>11</v>
      </c>
      <c r="G88" t="str">
        <f t="shared" si="4"/>
        <v>Thursday</v>
      </c>
      <c r="H88" t="str">
        <f t="shared" si="5"/>
        <v>January</v>
      </c>
    </row>
    <row r="89" spans="1:8" x14ac:dyDescent="0.35">
      <c r="A89" s="1">
        <v>46051</v>
      </c>
      <c r="B89" t="s">
        <v>9</v>
      </c>
      <c r="C89" t="s">
        <v>17</v>
      </c>
      <c r="D89">
        <v>1</v>
      </c>
      <c r="E89" s="4">
        <v>3.75</v>
      </c>
      <c r="F89" s="4">
        <f t="shared" si="3"/>
        <v>3.75</v>
      </c>
      <c r="G89" t="str">
        <f t="shared" si="4"/>
        <v>Thursday</v>
      </c>
      <c r="H89" t="str">
        <f t="shared" si="5"/>
        <v>January</v>
      </c>
    </row>
    <row r="90" spans="1:8" x14ac:dyDescent="0.35">
      <c r="A90" s="1">
        <v>46051</v>
      </c>
      <c r="B90" t="s">
        <v>11</v>
      </c>
      <c r="C90" t="s">
        <v>18</v>
      </c>
      <c r="D90">
        <v>4</v>
      </c>
      <c r="E90" s="4">
        <v>6.5</v>
      </c>
      <c r="F90" s="4">
        <f t="shared" si="3"/>
        <v>26</v>
      </c>
      <c r="G90" t="str">
        <f t="shared" si="4"/>
        <v>Thursday</v>
      </c>
      <c r="H90" t="str">
        <f t="shared" si="5"/>
        <v>January</v>
      </c>
    </row>
    <row r="91" spans="1:8" x14ac:dyDescent="0.35">
      <c r="A91" s="1">
        <v>46052</v>
      </c>
      <c r="B91" t="s">
        <v>7</v>
      </c>
      <c r="C91" t="s">
        <v>16</v>
      </c>
      <c r="D91">
        <v>5</v>
      </c>
      <c r="E91" s="4">
        <v>3.5</v>
      </c>
      <c r="F91" s="4">
        <f t="shared" si="3"/>
        <v>17.5</v>
      </c>
      <c r="G91" t="str">
        <f t="shared" si="4"/>
        <v>Friday</v>
      </c>
      <c r="H91" t="str">
        <f t="shared" si="5"/>
        <v>January</v>
      </c>
    </row>
    <row r="92" spans="1:8" x14ac:dyDescent="0.35">
      <c r="A92" s="1">
        <v>46052</v>
      </c>
      <c r="B92" t="s">
        <v>8</v>
      </c>
      <c r="C92" t="s">
        <v>16</v>
      </c>
      <c r="D92">
        <v>2</v>
      </c>
      <c r="E92" s="4">
        <v>4.25</v>
      </c>
      <c r="F92" s="4">
        <f t="shared" si="3"/>
        <v>8.5</v>
      </c>
      <c r="G92" t="str">
        <f t="shared" si="4"/>
        <v>Friday</v>
      </c>
      <c r="H92" t="str">
        <f t="shared" si="5"/>
        <v>January</v>
      </c>
    </row>
    <row r="93" spans="1:8" x14ac:dyDescent="0.35">
      <c r="A93" s="1">
        <v>46052</v>
      </c>
      <c r="B93" t="s">
        <v>13</v>
      </c>
      <c r="C93" t="s">
        <v>16</v>
      </c>
      <c r="D93">
        <v>3</v>
      </c>
      <c r="E93" s="4">
        <v>4.75</v>
      </c>
      <c r="F93" s="4">
        <f t="shared" si="3"/>
        <v>14.25</v>
      </c>
      <c r="G93" t="str">
        <f t="shared" si="4"/>
        <v>Friday</v>
      </c>
      <c r="H93" t="str">
        <f t="shared" si="5"/>
        <v>January</v>
      </c>
    </row>
    <row r="94" spans="1:8" x14ac:dyDescent="0.35">
      <c r="A94" s="1">
        <v>46053</v>
      </c>
      <c r="B94" t="s">
        <v>6</v>
      </c>
      <c r="C94" t="s">
        <v>16</v>
      </c>
      <c r="D94">
        <v>1</v>
      </c>
      <c r="E94" s="4">
        <v>4.5</v>
      </c>
      <c r="F94" s="4">
        <f t="shared" si="3"/>
        <v>4.5</v>
      </c>
      <c r="G94" t="str">
        <f t="shared" si="4"/>
        <v>Saturday</v>
      </c>
      <c r="H94" t="str">
        <f t="shared" si="5"/>
        <v>January</v>
      </c>
    </row>
    <row r="95" spans="1:8" x14ac:dyDescent="0.35">
      <c r="A95" s="1">
        <v>46053</v>
      </c>
      <c r="B95" t="s">
        <v>12</v>
      </c>
      <c r="C95" t="s">
        <v>17</v>
      </c>
      <c r="D95">
        <v>11</v>
      </c>
      <c r="E95" s="4">
        <v>2.5</v>
      </c>
      <c r="F95" s="4">
        <f t="shared" si="3"/>
        <v>27.5</v>
      </c>
      <c r="G95" t="str">
        <f t="shared" si="4"/>
        <v>Saturday</v>
      </c>
      <c r="H95" t="str">
        <f t="shared" si="5"/>
        <v>January</v>
      </c>
    </row>
    <row r="96" spans="1:8" x14ac:dyDescent="0.35">
      <c r="A96" s="1">
        <v>46053</v>
      </c>
      <c r="B96" t="s">
        <v>15</v>
      </c>
      <c r="C96" t="s">
        <v>16</v>
      </c>
      <c r="D96">
        <v>4</v>
      </c>
      <c r="E96" s="4">
        <v>4.5</v>
      </c>
      <c r="F96" s="4">
        <f t="shared" si="3"/>
        <v>18</v>
      </c>
      <c r="G96" t="str">
        <f t="shared" si="4"/>
        <v>Saturday</v>
      </c>
      <c r="H96" t="str">
        <f t="shared" si="5"/>
        <v>January</v>
      </c>
    </row>
    <row r="97" spans="1:8" x14ac:dyDescent="0.35">
      <c r="A97" s="1">
        <v>46054</v>
      </c>
      <c r="B97" t="s">
        <v>10</v>
      </c>
      <c r="C97" t="s">
        <v>17</v>
      </c>
      <c r="D97">
        <v>2</v>
      </c>
      <c r="E97" s="4">
        <v>3.25</v>
      </c>
      <c r="F97" s="4">
        <f t="shared" si="3"/>
        <v>6.5</v>
      </c>
      <c r="G97" t="str">
        <f t="shared" si="4"/>
        <v>Sunday</v>
      </c>
      <c r="H97" t="str">
        <f t="shared" si="5"/>
        <v>February</v>
      </c>
    </row>
    <row r="98" spans="1:8" x14ac:dyDescent="0.35">
      <c r="A98" s="1">
        <v>46054</v>
      </c>
      <c r="B98" t="s">
        <v>14</v>
      </c>
      <c r="C98" t="s">
        <v>16</v>
      </c>
      <c r="D98">
        <v>4</v>
      </c>
      <c r="E98" s="4">
        <v>5.5</v>
      </c>
      <c r="F98" s="4">
        <f t="shared" si="3"/>
        <v>22</v>
      </c>
      <c r="G98" t="str">
        <f t="shared" si="4"/>
        <v>Sunday</v>
      </c>
      <c r="H98" t="str">
        <f t="shared" si="5"/>
        <v>February</v>
      </c>
    </row>
    <row r="99" spans="1:8" x14ac:dyDescent="0.35">
      <c r="A99" s="1">
        <v>46054</v>
      </c>
      <c r="B99" t="s">
        <v>9</v>
      </c>
      <c r="C99" t="s">
        <v>17</v>
      </c>
      <c r="D99">
        <v>3</v>
      </c>
      <c r="E99" s="4">
        <v>3.75</v>
      </c>
      <c r="F99" s="4">
        <f t="shared" si="3"/>
        <v>11.25</v>
      </c>
      <c r="G99" t="str">
        <f t="shared" si="4"/>
        <v>Sunday</v>
      </c>
      <c r="H99" t="str">
        <f t="shared" si="5"/>
        <v>February</v>
      </c>
    </row>
    <row r="100" spans="1:8" x14ac:dyDescent="0.35">
      <c r="A100" s="1">
        <v>46055</v>
      </c>
      <c r="B100" t="s">
        <v>11</v>
      </c>
      <c r="C100" t="s">
        <v>18</v>
      </c>
      <c r="D100">
        <v>2</v>
      </c>
      <c r="E100" s="4">
        <v>6.5</v>
      </c>
      <c r="F100" s="4">
        <f t="shared" si="3"/>
        <v>13</v>
      </c>
      <c r="G100" t="str">
        <f t="shared" si="4"/>
        <v>Monday</v>
      </c>
      <c r="H100" t="str">
        <f t="shared" si="5"/>
        <v>February</v>
      </c>
    </row>
    <row r="101" spans="1:8" x14ac:dyDescent="0.35">
      <c r="A101" s="1">
        <v>46055</v>
      </c>
      <c r="B101" t="s">
        <v>7</v>
      </c>
      <c r="C101" t="s">
        <v>16</v>
      </c>
      <c r="D101">
        <v>1</v>
      </c>
      <c r="E101" s="4">
        <v>3.5</v>
      </c>
      <c r="F101" s="4">
        <f t="shared" si="3"/>
        <v>3.5</v>
      </c>
      <c r="G101" t="str">
        <f t="shared" si="4"/>
        <v>Monday</v>
      </c>
      <c r="H101" t="str">
        <f t="shared" si="5"/>
        <v>February</v>
      </c>
    </row>
    <row r="102" spans="1:8" x14ac:dyDescent="0.35">
      <c r="A102" s="1">
        <v>46055</v>
      </c>
      <c r="B102" t="s">
        <v>8</v>
      </c>
      <c r="C102" t="s">
        <v>16</v>
      </c>
      <c r="D102">
        <v>4</v>
      </c>
      <c r="E102" s="4">
        <v>4.25</v>
      </c>
      <c r="F102" s="4">
        <f t="shared" si="3"/>
        <v>17</v>
      </c>
      <c r="G102" t="str">
        <f t="shared" si="4"/>
        <v>Monday</v>
      </c>
      <c r="H102" t="str">
        <f t="shared" si="5"/>
        <v>February</v>
      </c>
    </row>
    <row r="103" spans="1:8" x14ac:dyDescent="0.35">
      <c r="A103" s="1">
        <v>46056</v>
      </c>
      <c r="B103" t="s">
        <v>13</v>
      </c>
      <c r="C103" t="s">
        <v>16</v>
      </c>
      <c r="D103">
        <v>3</v>
      </c>
      <c r="E103" s="4">
        <v>4.75</v>
      </c>
      <c r="F103" s="4">
        <f t="shared" si="3"/>
        <v>14.25</v>
      </c>
      <c r="G103" t="str">
        <f t="shared" si="4"/>
        <v>Tuesday</v>
      </c>
      <c r="H103" t="str">
        <f t="shared" si="5"/>
        <v>February</v>
      </c>
    </row>
    <row r="104" spans="1:8" x14ac:dyDescent="0.35">
      <c r="A104" s="1">
        <v>46056</v>
      </c>
      <c r="B104" t="s">
        <v>6</v>
      </c>
      <c r="C104" t="s">
        <v>16</v>
      </c>
      <c r="D104">
        <v>5</v>
      </c>
      <c r="E104" s="4">
        <v>4.5</v>
      </c>
      <c r="F104" s="4">
        <f t="shared" si="3"/>
        <v>22.5</v>
      </c>
      <c r="G104" t="str">
        <f t="shared" si="4"/>
        <v>Tuesday</v>
      </c>
      <c r="H104" t="str">
        <f t="shared" si="5"/>
        <v>February</v>
      </c>
    </row>
    <row r="105" spans="1:8" x14ac:dyDescent="0.35">
      <c r="A105" s="1">
        <v>46056</v>
      </c>
      <c r="B105" t="s">
        <v>12</v>
      </c>
      <c r="C105" t="s">
        <v>17</v>
      </c>
      <c r="D105">
        <v>7</v>
      </c>
      <c r="E105" s="4">
        <v>2.5</v>
      </c>
      <c r="F105" s="4">
        <f t="shared" si="3"/>
        <v>17.5</v>
      </c>
      <c r="G105" t="str">
        <f t="shared" si="4"/>
        <v>Tuesday</v>
      </c>
      <c r="H105" t="str">
        <f t="shared" si="5"/>
        <v>February</v>
      </c>
    </row>
    <row r="106" spans="1:8" x14ac:dyDescent="0.35">
      <c r="A106" s="1">
        <v>46057</v>
      </c>
      <c r="B106" t="s">
        <v>15</v>
      </c>
      <c r="C106" t="s">
        <v>16</v>
      </c>
      <c r="D106">
        <v>3</v>
      </c>
      <c r="E106" s="4">
        <v>4.5</v>
      </c>
      <c r="F106" s="4">
        <f t="shared" si="3"/>
        <v>13.5</v>
      </c>
      <c r="G106" t="str">
        <f t="shared" si="4"/>
        <v>Wednesday</v>
      </c>
      <c r="H106" t="str">
        <f t="shared" si="5"/>
        <v>February</v>
      </c>
    </row>
    <row r="107" spans="1:8" x14ac:dyDescent="0.35">
      <c r="A107" s="1">
        <v>46057</v>
      </c>
      <c r="B107" t="s">
        <v>10</v>
      </c>
      <c r="C107" t="s">
        <v>17</v>
      </c>
      <c r="D107">
        <v>5</v>
      </c>
      <c r="E107" s="4">
        <v>3.25</v>
      </c>
      <c r="F107" s="4">
        <f t="shared" si="3"/>
        <v>16.25</v>
      </c>
      <c r="G107" t="str">
        <f t="shared" si="4"/>
        <v>Wednesday</v>
      </c>
      <c r="H107" t="str">
        <f t="shared" si="5"/>
        <v>February</v>
      </c>
    </row>
    <row r="108" spans="1:8" x14ac:dyDescent="0.35">
      <c r="A108" s="1">
        <v>46057</v>
      </c>
      <c r="B108" t="s">
        <v>14</v>
      </c>
      <c r="C108" t="s">
        <v>16</v>
      </c>
      <c r="D108">
        <v>1</v>
      </c>
      <c r="E108" s="4">
        <v>5.5</v>
      </c>
      <c r="F108" s="4">
        <f t="shared" si="3"/>
        <v>5.5</v>
      </c>
      <c r="G108" t="str">
        <f t="shared" si="4"/>
        <v>Wednesday</v>
      </c>
      <c r="H108" t="str">
        <f t="shared" si="5"/>
        <v>February</v>
      </c>
    </row>
    <row r="109" spans="1:8" x14ac:dyDescent="0.35">
      <c r="A109" s="1">
        <v>46058</v>
      </c>
      <c r="B109" t="s">
        <v>9</v>
      </c>
      <c r="C109" t="s">
        <v>17</v>
      </c>
      <c r="D109">
        <v>4</v>
      </c>
      <c r="E109" s="4">
        <v>3.75</v>
      </c>
      <c r="F109" s="4">
        <f t="shared" si="3"/>
        <v>15</v>
      </c>
      <c r="G109" t="str">
        <f t="shared" si="4"/>
        <v>Thursday</v>
      </c>
      <c r="H109" t="str">
        <f t="shared" si="5"/>
        <v>February</v>
      </c>
    </row>
    <row r="110" spans="1:8" x14ac:dyDescent="0.35">
      <c r="A110" s="1">
        <v>46058</v>
      </c>
      <c r="B110" t="s">
        <v>11</v>
      </c>
      <c r="C110" t="s">
        <v>18</v>
      </c>
      <c r="D110">
        <v>3</v>
      </c>
      <c r="E110" s="4">
        <v>6.5</v>
      </c>
      <c r="F110" s="4">
        <f t="shared" si="3"/>
        <v>19.5</v>
      </c>
      <c r="G110" t="str">
        <f t="shared" si="4"/>
        <v>Thursday</v>
      </c>
      <c r="H110" t="str">
        <f t="shared" si="5"/>
        <v>February</v>
      </c>
    </row>
    <row r="111" spans="1:8" x14ac:dyDescent="0.35">
      <c r="A111" s="1">
        <v>46058</v>
      </c>
      <c r="B111" t="s">
        <v>7</v>
      </c>
      <c r="C111" t="s">
        <v>16</v>
      </c>
      <c r="D111">
        <v>2</v>
      </c>
      <c r="E111" s="4">
        <v>3.5</v>
      </c>
      <c r="F111" s="4">
        <f t="shared" si="3"/>
        <v>7</v>
      </c>
      <c r="G111" t="str">
        <f t="shared" si="4"/>
        <v>Thursday</v>
      </c>
      <c r="H111" t="str">
        <f t="shared" si="5"/>
        <v>February</v>
      </c>
    </row>
    <row r="112" spans="1:8" x14ac:dyDescent="0.35">
      <c r="A112" s="1">
        <v>46059</v>
      </c>
      <c r="B112" t="s">
        <v>8</v>
      </c>
      <c r="C112" t="s">
        <v>16</v>
      </c>
      <c r="D112">
        <v>6</v>
      </c>
      <c r="E112" s="4">
        <v>4.25</v>
      </c>
      <c r="F112" s="4">
        <f t="shared" si="3"/>
        <v>25.5</v>
      </c>
      <c r="G112" t="str">
        <f t="shared" si="4"/>
        <v>Friday</v>
      </c>
      <c r="H112" t="str">
        <f t="shared" si="5"/>
        <v>February</v>
      </c>
    </row>
    <row r="113" spans="1:8" x14ac:dyDescent="0.35">
      <c r="A113" s="1">
        <v>46059</v>
      </c>
      <c r="B113" t="s">
        <v>13</v>
      </c>
      <c r="C113" t="s">
        <v>16</v>
      </c>
      <c r="D113">
        <v>2</v>
      </c>
      <c r="E113" s="4">
        <v>4.75</v>
      </c>
      <c r="F113" s="4">
        <f t="shared" si="3"/>
        <v>9.5</v>
      </c>
      <c r="G113" t="str">
        <f t="shared" si="4"/>
        <v>Friday</v>
      </c>
      <c r="H113" t="str">
        <f t="shared" si="5"/>
        <v>February</v>
      </c>
    </row>
    <row r="114" spans="1:8" x14ac:dyDescent="0.35">
      <c r="A114" s="1">
        <v>46059</v>
      </c>
      <c r="B114" t="s">
        <v>6</v>
      </c>
      <c r="C114" t="s">
        <v>16</v>
      </c>
      <c r="D114">
        <v>1</v>
      </c>
      <c r="E114" s="4">
        <v>4.5</v>
      </c>
      <c r="F114" s="4">
        <f t="shared" si="3"/>
        <v>4.5</v>
      </c>
      <c r="G114" t="str">
        <f t="shared" si="4"/>
        <v>Friday</v>
      </c>
      <c r="H114" t="str">
        <f t="shared" si="5"/>
        <v>February</v>
      </c>
    </row>
    <row r="115" spans="1:8" x14ac:dyDescent="0.35">
      <c r="A115" s="1">
        <v>46060</v>
      </c>
      <c r="B115" t="s">
        <v>12</v>
      </c>
      <c r="C115" t="s">
        <v>17</v>
      </c>
      <c r="D115">
        <v>8</v>
      </c>
      <c r="E115" s="4">
        <v>2.5</v>
      </c>
      <c r="F115" s="4">
        <f t="shared" si="3"/>
        <v>20</v>
      </c>
      <c r="G115" t="str">
        <f t="shared" si="4"/>
        <v>Saturday</v>
      </c>
      <c r="H115" t="str">
        <f t="shared" si="5"/>
        <v>February</v>
      </c>
    </row>
    <row r="116" spans="1:8" x14ac:dyDescent="0.35">
      <c r="A116" s="1">
        <v>46060</v>
      </c>
      <c r="B116" t="s">
        <v>15</v>
      </c>
      <c r="C116" t="s">
        <v>16</v>
      </c>
      <c r="D116">
        <v>5</v>
      </c>
      <c r="E116" s="4">
        <v>4.5</v>
      </c>
      <c r="F116" s="4">
        <f t="shared" si="3"/>
        <v>22.5</v>
      </c>
      <c r="G116" t="str">
        <f t="shared" si="4"/>
        <v>Saturday</v>
      </c>
      <c r="H116" t="str">
        <f t="shared" si="5"/>
        <v>February</v>
      </c>
    </row>
    <row r="117" spans="1:8" x14ac:dyDescent="0.35">
      <c r="A117" s="1">
        <v>46060</v>
      </c>
      <c r="B117" t="s">
        <v>10</v>
      </c>
      <c r="C117" t="s">
        <v>17</v>
      </c>
      <c r="D117">
        <v>3</v>
      </c>
      <c r="E117" s="4">
        <v>3.25</v>
      </c>
      <c r="F117" s="4">
        <f t="shared" si="3"/>
        <v>9.75</v>
      </c>
      <c r="G117" t="str">
        <f t="shared" si="4"/>
        <v>Saturday</v>
      </c>
      <c r="H117" t="str">
        <f t="shared" si="5"/>
        <v>February</v>
      </c>
    </row>
    <row r="118" spans="1:8" x14ac:dyDescent="0.35">
      <c r="A118" s="1">
        <v>46061</v>
      </c>
      <c r="B118" t="s">
        <v>14</v>
      </c>
      <c r="C118" t="s">
        <v>16</v>
      </c>
      <c r="D118">
        <v>2</v>
      </c>
      <c r="E118" s="4">
        <v>5.5</v>
      </c>
      <c r="F118" s="4">
        <f t="shared" si="3"/>
        <v>11</v>
      </c>
      <c r="G118" t="str">
        <f t="shared" si="4"/>
        <v>Sunday</v>
      </c>
      <c r="H118" t="str">
        <f t="shared" si="5"/>
        <v>February</v>
      </c>
    </row>
    <row r="119" spans="1:8" x14ac:dyDescent="0.35">
      <c r="A119" s="1">
        <v>46061</v>
      </c>
      <c r="B119" t="s">
        <v>9</v>
      </c>
      <c r="C119" t="s">
        <v>17</v>
      </c>
      <c r="D119">
        <v>2</v>
      </c>
      <c r="E119" s="4">
        <v>3.75</v>
      </c>
      <c r="F119" s="4">
        <f t="shared" si="3"/>
        <v>7.5</v>
      </c>
      <c r="G119" t="str">
        <f t="shared" si="4"/>
        <v>Sunday</v>
      </c>
      <c r="H119" t="str">
        <f t="shared" si="5"/>
        <v>February</v>
      </c>
    </row>
    <row r="120" spans="1:8" x14ac:dyDescent="0.35">
      <c r="A120" s="1">
        <v>46061</v>
      </c>
      <c r="B120" t="s">
        <v>11</v>
      </c>
      <c r="C120" t="s">
        <v>18</v>
      </c>
      <c r="D120">
        <v>4</v>
      </c>
      <c r="E120" s="4">
        <v>6.5</v>
      </c>
      <c r="F120" s="4">
        <f t="shared" si="3"/>
        <v>26</v>
      </c>
      <c r="G120" t="str">
        <f t="shared" si="4"/>
        <v>Sunday</v>
      </c>
      <c r="H120" t="str">
        <f t="shared" si="5"/>
        <v>February</v>
      </c>
    </row>
    <row r="121" spans="1:8" x14ac:dyDescent="0.35">
      <c r="A121" s="1">
        <v>46062</v>
      </c>
      <c r="B121" t="s">
        <v>7</v>
      </c>
      <c r="C121" t="s">
        <v>16</v>
      </c>
      <c r="D121">
        <v>3</v>
      </c>
      <c r="E121" s="4">
        <v>3.5</v>
      </c>
      <c r="F121" s="4">
        <f t="shared" si="3"/>
        <v>10.5</v>
      </c>
      <c r="G121" t="str">
        <f t="shared" si="4"/>
        <v>Monday</v>
      </c>
      <c r="H121" t="str">
        <f t="shared" si="5"/>
        <v>February</v>
      </c>
    </row>
    <row r="122" spans="1:8" x14ac:dyDescent="0.35">
      <c r="A122" s="1">
        <v>46062</v>
      </c>
      <c r="B122" t="s">
        <v>8</v>
      </c>
      <c r="C122" t="s">
        <v>16</v>
      </c>
      <c r="D122">
        <v>1</v>
      </c>
      <c r="E122" s="4">
        <v>4.25</v>
      </c>
      <c r="F122" s="4">
        <f t="shared" si="3"/>
        <v>4.25</v>
      </c>
      <c r="G122" t="str">
        <f t="shared" si="4"/>
        <v>Monday</v>
      </c>
      <c r="H122" t="str">
        <f t="shared" si="5"/>
        <v>February</v>
      </c>
    </row>
    <row r="123" spans="1:8" x14ac:dyDescent="0.35">
      <c r="A123" s="1">
        <v>46062</v>
      </c>
      <c r="B123" t="s">
        <v>13</v>
      </c>
      <c r="C123" t="s">
        <v>16</v>
      </c>
      <c r="D123">
        <v>4</v>
      </c>
      <c r="E123" s="4">
        <v>4.75</v>
      </c>
      <c r="F123" s="4">
        <f t="shared" si="3"/>
        <v>19</v>
      </c>
      <c r="G123" t="str">
        <f t="shared" si="4"/>
        <v>Monday</v>
      </c>
      <c r="H123" t="str">
        <f t="shared" si="5"/>
        <v>February</v>
      </c>
    </row>
    <row r="124" spans="1:8" x14ac:dyDescent="0.35">
      <c r="A124" s="1">
        <v>46063</v>
      </c>
      <c r="B124" t="s">
        <v>6</v>
      </c>
      <c r="C124" t="s">
        <v>16</v>
      </c>
      <c r="D124">
        <v>2</v>
      </c>
      <c r="E124" s="4">
        <v>4.5</v>
      </c>
      <c r="F124" s="4">
        <f t="shared" si="3"/>
        <v>9</v>
      </c>
      <c r="G124" t="str">
        <f t="shared" si="4"/>
        <v>Tuesday</v>
      </c>
      <c r="H124" t="str">
        <f t="shared" si="5"/>
        <v>February</v>
      </c>
    </row>
    <row r="125" spans="1:8" x14ac:dyDescent="0.35">
      <c r="A125" s="1">
        <v>46063</v>
      </c>
      <c r="B125" t="s">
        <v>12</v>
      </c>
      <c r="C125" t="s">
        <v>17</v>
      </c>
      <c r="D125">
        <v>6</v>
      </c>
      <c r="E125" s="4">
        <v>2.5</v>
      </c>
      <c r="F125" s="4">
        <f t="shared" si="3"/>
        <v>15</v>
      </c>
      <c r="G125" t="str">
        <f t="shared" si="4"/>
        <v>Tuesday</v>
      </c>
      <c r="H125" t="str">
        <f t="shared" si="5"/>
        <v>February</v>
      </c>
    </row>
    <row r="126" spans="1:8" x14ac:dyDescent="0.35">
      <c r="A126" s="1">
        <v>46063</v>
      </c>
      <c r="B126" t="s">
        <v>15</v>
      </c>
      <c r="C126" t="s">
        <v>16</v>
      </c>
      <c r="D126">
        <v>2</v>
      </c>
      <c r="E126" s="4">
        <v>4.5</v>
      </c>
      <c r="F126" s="4">
        <f t="shared" si="3"/>
        <v>9</v>
      </c>
      <c r="G126" t="str">
        <f t="shared" si="4"/>
        <v>Tuesday</v>
      </c>
      <c r="H126" t="str">
        <f t="shared" si="5"/>
        <v>February</v>
      </c>
    </row>
    <row r="127" spans="1:8" x14ac:dyDescent="0.35">
      <c r="A127" s="1">
        <v>46064</v>
      </c>
      <c r="B127" t="s">
        <v>10</v>
      </c>
      <c r="C127" t="s">
        <v>17</v>
      </c>
      <c r="D127">
        <v>1</v>
      </c>
      <c r="E127" s="4">
        <v>3.25</v>
      </c>
      <c r="F127" s="4">
        <f t="shared" si="3"/>
        <v>3.25</v>
      </c>
      <c r="G127" t="str">
        <f t="shared" si="4"/>
        <v>Wednesday</v>
      </c>
      <c r="H127" t="str">
        <f t="shared" si="5"/>
        <v>February</v>
      </c>
    </row>
    <row r="128" spans="1:8" x14ac:dyDescent="0.35">
      <c r="A128" s="1">
        <v>46064</v>
      </c>
      <c r="B128" t="s">
        <v>14</v>
      </c>
      <c r="C128" t="s">
        <v>16</v>
      </c>
      <c r="D128">
        <v>5</v>
      </c>
      <c r="E128" s="4">
        <v>5.5</v>
      </c>
      <c r="F128" s="4">
        <f t="shared" si="3"/>
        <v>27.5</v>
      </c>
      <c r="G128" t="str">
        <f t="shared" si="4"/>
        <v>Wednesday</v>
      </c>
      <c r="H128" t="str">
        <f t="shared" si="5"/>
        <v>February</v>
      </c>
    </row>
    <row r="129" spans="1:8" x14ac:dyDescent="0.35">
      <c r="A129" s="1">
        <v>46064</v>
      </c>
      <c r="B129" t="s">
        <v>9</v>
      </c>
      <c r="C129" t="s">
        <v>17</v>
      </c>
      <c r="D129">
        <v>3</v>
      </c>
      <c r="E129" s="4">
        <v>3.75</v>
      </c>
      <c r="F129" s="4">
        <f t="shared" si="3"/>
        <v>11.25</v>
      </c>
      <c r="G129" t="str">
        <f t="shared" si="4"/>
        <v>Wednesday</v>
      </c>
      <c r="H129" t="str">
        <f t="shared" si="5"/>
        <v>February</v>
      </c>
    </row>
    <row r="130" spans="1:8" x14ac:dyDescent="0.35">
      <c r="A130" s="1">
        <v>46065</v>
      </c>
      <c r="B130" t="s">
        <v>11</v>
      </c>
      <c r="C130" t="s">
        <v>18</v>
      </c>
      <c r="D130">
        <v>5</v>
      </c>
      <c r="E130" s="4">
        <v>6.5</v>
      </c>
      <c r="F130" s="4">
        <f t="shared" si="3"/>
        <v>32.5</v>
      </c>
      <c r="G130" t="str">
        <f t="shared" si="4"/>
        <v>Thursday</v>
      </c>
      <c r="H130" t="str">
        <f t="shared" si="5"/>
        <v>February</v>
      </c>
    </row>
    <row r="131" spans="1:8" x14ac:dyDescent="0.35">
      <c r="A131" s="1">
        <v>46065</v>
      </c>
      <c r="B131" t="s">
        <v>7</v>
      </c>
      <c r="C131" t="s">
        <v>16</v>
      </c>
      <c r="D131">
        <v>4</v>
      </c>
      <c r="E131" s="4">
        <v>3.5</v>
      </c>
      <c r="F131" s="4">
        <f t="shared" si="3"/>
        <v>14</v>
      </c>
      <c r="G131" t="str">
        <f t="shared" si="4"/>
        <v>Thursday</v>
      </c>
      <c r="H131" t="str">
        <f t="shared" si="5"/>
        <v>February</v>
      </c>
    </row>
    <row r="132" spans="1:8" x14ac:dyDescent="0.35">
      <c r="A132" s="1">
        <v>46065</v>
      </c>
      <c r="B132" t="s">
        <v>8</v>
      </c>
      <c r="C132" t="s">
        <v>16</v>
      </c>
      <c r="D132">
        <v>2</v>
      </c>
      <c r="E132" s="4">
        <v>4.25</v>
      </c>
      <c r="F132" s="4">
        <f t="shared" si="3"/>
        <v>8.5</v>
      </c>
      <c r="G132" t="str">
        <f t="shared" si="4"/>
        <v>Thursday</v>
      </c>
      <c r="H132" t="str">
        <f t="shared" si="5"/>
        <v>February</v>
      </c>
    </row>
    <row r="133" spans="1:8" x14ac:dyDescent="0.35">
      <c r="A133" s="1">
        <v>46066</v>
      </c>
      <c r="B133" t="s">
        <v>13</v>
      </c>
      <c r="C133" t="s">
        <v>16</v>
      </c>
      <c r="D133">
        <v>1</v>
      </c>
      <c r="E133" s="4">
        <v>4.75</v>
      </c>
      <c r="F133" s="4">
        <f t="shared" ref="F133:F196" si="6">D133*E133</f>
        <v>4.75</v>
      </c>
      <c r="G133" t="str">
        <f t="shared" ref="G133:G196" si="7">TEXT(A133,"dddd")</f>
        <v>Friday</v>
      </c>
      <c r="H133" t="str">
        <f t="shared" ref="H133:H196" si="8">TEXT(A133,"mmmm")</f>
        <v>February</v>
      </c>
    </row>
    <row r="134" spans="1:8" x14ac:dyDescent="0.35">
      <c r="A134" s="1">
        <v>46066</v>
      </c>
      <c r="B134" t="s">
        <v>6</v>
      </c>
      <c r="C134" t="s">
        <v>16</v>
      </c>
      <c r="D134">
        <v>3</v>
      </c>
      <c r="E134" s="4">
        <v>4.5</v>
      </c>
      <c r="F134" s="4">
        <f t="shared" si="6"/>
        <v>13.5</v>
      </c>
      <c r="G134" t="str">
        <f t="shared" si="7"/>
        <v>Friday</v>
      </c>
      <c r="H134" t="str">
        <f t="shared" si="8"/>
        <v>February</v>
      </c>
    </row>
    <row r="135" spans="1:8" x14ac:dyDescent="0.35">
      <c r="A135" s="1">
        <v>46066</v>
      </c>
      <c r="B135" t="s">
        <v>12</v>
      </c>
      <c r="C135" t="s">
        <v>17</v>
      </c>
      <c r="D135">
        <v>10</v>
      </c>
      <c r="E135" s="4">
        <v>2.5</v>
      </c>
      <c r="F135" s="4">
        <f t="shared" si="6"/>
        <v>25</v>
      </c>
      <c r="G135" t="str">
        <f t="shared" si="7"/>
        <v>Friday</v>
      </c>
      <c r="H135" t="str">
        <f t="shared" si="8"/>
        <v>February</v>
      </c>
    </row>
    <row r="136" spans="1:8" x14ac:dyDescent="0.35">
      <c r="A136" s="1">
        <v>46067</v>
      </c>
      <c r="B136" t="s">
        <v>15</v>
      </c>
      <c r="C136" t="s">
        <v>16</v>
      </c>
      <c r="D136">
        <v>4</v>
      </c>
      <c r="E136" s="4">
        <v>4.5</v>
      </c>
      <c r="F136" s="4">
        <f t="shared" si="6"/>
        <v>18</v>
      </c>
      <c r="G136" t="str">
        <f t="shared" si="7"/>
        <v>Saturday</v>
      </c>
      <c r="H136" t="str">
        <f t="shared" si="8"/>
        <v>February</v>
      </c>
    </row>
    <row r="137" spans="1:8" x14ac:dyDescent="0.35">
      <c r="A137" s="1">
        <v>46067</v>
      </c>
      <c r="B137" t="s">
        <v>10</v>
      </c>
      <c r="C137" t="s">
        <v>17</v>
      </c>
      <c r="D137">
        <v>4</v>
      </c>
      <c r="E137" s="4">
        <v>3.25</v>
      </c>
      <c r="F137" s="4">
        <f t="shared" si="6"/>
        <v>13</v>
      </c>
      <c r="G137" t="str">
        <f t="shared" si="7"/>
        <v>Saturday</v>
      </c>
      <c r="H137" t="str">
        <f t="shared" si="8"/>
        <v>February</v>
      </c>
    </row>
    <row r="138" spans="1:8" x14ac:dyDescent="0.35">
      <c r="A138" s="1">
        <v>46067</v>
      </c>
      <c r="B138" t="s">
        <v>14</v>
      </c>
      <c r="C138" t="s">
        <v>16</v>
      </c>
      <c r="D138">
        <v>3</v>
      </c>
      <c r="E138" s="4">
        <v>5.5</v>
      </c>
      <c r="F138" s="4">
        <f t="shared" si="6"/>
        <v>16.5</v>
      </c>
      <c r="G138" t="str">
        <f t="shared" si="7"/>
        <v>Saturday</v>
      </c>
      <c r="H138" t="str">
        <f t="shared" si="8"/>
        <v>February</v>
      </c>
    </row>
    <row r="139" spans="1:8" x14ac:dyDescent="0.35">
      <c r="A139" s="1">
        <v>46068</v>
      </c>
      <c r="B139" t="s">
        <v>9</v>
      </c>
      <c r="C139" t="s">
        <v>17</v>
      </c>
      <c r="D139">
        <v>2</v>
      </c>
      <c r="E139" s="4">
        <v>3.75</v>
      </c>
      <c r="F139" s="4">
        <f t="shared" si="6"/>
        <v>7.5</v>
      </c>
      <c r="G139" t="str">
        <f t="shared" si="7"/>
        <v>Sunday</v>
      </c>
      <c r="H139" t="str">
        <f t="shared" si="8"/>
        <v>February</v>
      </c>
    </row>
    <row r="140" spans="1:8" x14ac:dyDescent="0.35">
      <c r="A140" s="1">
        <v>46068</v>
      </c>
      <c r="B140" t="s">
        <v>11</v>
      </c>
      <c r="C140" t="s">
        <v>18</v>
      </c>
      <c r="D140">
        <v>2</v>
      </c>
      <c r="E140" s="4">
        <v>6.5</v>
      </c>
      <c r="F140" s="4">
        <f t="shared" si="6"/>
        <v>13</v>
      </c>
      <c r="G140" t="str">
        <f t="shared" si="7"/>
        <v>Sunday</v>
      </c>
      <c r="H140" t="str">
        <f t="shared" si="8"/>
        <v>February</v>
      </c>
    </row>
    <row r="141" spans="1:8" x14ac:dyDescent="0.35">
      <c r="A141" s="1">
        <v>46068</v>
      </c>
      <c r="B141" t="s">
        <v>7</v>
      </c>
      <c r="C141" t="s">
        <v>16</v>
      </c>
      <c r="D141">
        <v>1</v>
      </c>
      <c r="E141" s="4">
        <v>3.5</v>
      </c>
      <c r="F141" s="4">
        <f t="shared" si="6"/>
        <v>3.5</v>
      </c>
      <c r="G141" t="str">
        <f t="shared" si="7"/>
        <v>Sunday</v>
      </c>
      <c r="H141" t="str">
        <f t="shared" si="8"/>
        <v>February</v>
      </c>
    </row>
    <row r="142" spans="1:8" x14ac:dyDescent="0.35">
      <c r="A142" s="1">
        <v>46069</v>
      </c>
      <c r="B142" t="s">
        <v>8</v>
      </c>
      <c r="C142" t="s">
        <v>16</v>
      </c>
      <c r="D142">
        <v>3</v>
      </c>
      <c r="E142" s="4">
        <v>4.25</v>
      </c>
      <c r="F142" s="4">
        <f t="shared" si="6"/>
        <v>12.75</v>
      </c>
      <c r="G142" t="str">
        <f t="shared" si="7"/>
        <v>Monday</v>
      </c>
      <c r="H142" t="str">
        <f t="shared" si="8"/>
        <v>February</v>
      </c>
    </row>
    <row r="143" spans="1:8" x14ac:dyDescent="0.35">
      <c r="A143" s="1">
        <v>46069</v>
      </c>
      <c r="B143" t="s">
        <v>13</v>
      </c>
      <c r="C143" t="s">
        <v>16</v>
      </c>
      <c r="D143">
        <v>5</v>
      </c>
      <c r="E143" s="4">
        <v>4.75</v>
      </c>
      <c r="F143" s="4">
        <f t="shared" si="6"/>
        <v>23.75</v>
      </c>
      <c r="G143" t="str">
        <f t="shared" si="7"/>
        <v>Monday</v>
      </c>
      <c r="H143" t="str">
        <f t="shared" si="8"/>
        <v>February</v>
      </c>
    </row>
    <row r="144" spans="1:8" x14ac:dyDescent="0.35">
      <c r="A144" s="1">
        <v>46069</v>
      </c>
      <c r="B144" t="s">
        <v>6</v>
      </c>
      <c r="C144" t="s">
        <v>16</v>
      </c>
      <c r="D144">
        <v>4</v>
      </c>
      <c r="E144" s="4">
        <v>4.5</v>
      </c>
      <c r="F144" s="4">
        <f t="shared" si="6"/>
        <v>18</v>
      </c>
      <c r="G144" t="str">
        <f t="shared" si="7"/>
        <v>Monday</v>
      </c>
      <c r="H144" t="str">
        <f t="shared" si="8"/>
        <v>February</v>
      </c>
    </row>
    <row r="145" spans="1:8" x14ac:dyDescent="0.35">
      <c r="A145" s="1">
        <v>46070</v>
      </c>
      <c r="B145" t="s">
        <v>12</v>
      </c>
      <c r="C145" t="s">
        <v>17</v>
      </c>
      <c r="D145">
        <v>5</v>
      </c>
      <c r="E145" s="4">
        <v>2.5</v>
      </c>
      <c r="F145" s="4">
        <f t="shared" si="6"/>
        <v>12.5</v>
      </c>
      <c r="G145" t="str">
        <f t="shared" si="7"/>
        <v>Tuesday</v>
      </c>
      <c r="H145" t="str">
        <f t="shared" si="8"/>
        <v>February</v>
      </c>
    </row>
    <row r="146" spans="1:8" x14ac:dyDescent="0.35">
      <c r="A146" s="1">
        <v>46070</v>
      </c>
      <c r="B146" t="s">
        <v>15</v>
      </c>
      <c r="C146" t="s">
        <v>16</v>
      </c>
      <c r="D146">
        <v>1</v>
      </c>
      <c r="E146" s="4">
        <v>4.5</v>
      </c>
      <c r="F146" s="4">
        <f t="shared" si="6"/>
        <v>4.5</v>
      </c>
      <c r="G146" t="str">
        <f t="shared" si="7"/>
        <v>Tuesday</v>
      </c>
      <c r="H146" t="str">
        <f t="shared" si="8"/>
        <v>February</v>
      </c>
    </row>
    <row r="147" spans="1:8" x14ac:dyDescent="0.35">
      <c r="A147" s="1">
        <v>46070</v>
      </c>
      <c r="B147" t="s">
        <v>10</v>
      </c>
      <c r="C147" t="s">
        <v>17</v>
      </c>
      <c r="D147">
        <v>2</v>
      </c>
      <c r="E147" s="4">
        <v>3.25</v>
      </c>
      <c r="F147" s="4">
        <f t="shared" si="6"/>
        <v>6.5</v>
      </c>
      <c r="G147" t="str">
        <f t="shared" si="7"/>
        <v>Tuesday</v>
      </c>
      <c r="H147" t="str">
        <f t="shared" si="8"/>
        <v>February</v>
      </c>
    </row>
    <row r="148" spans="1:8" x14ac:dyDescent="0.35">
      <c r="A148" s="1">
        <v>46071</v>
      </c>
      <c r="B148" t="s">
        <v>14</v>
      </c>
      <c r="C148" t="s">
        <v>16</v>
      </c>
      <c r="D148">
        <v>4</v>
      </c>
      <c r="E148" s="4">
        <v>5.5</v>
      </c>
      <c r="F148" s="4">
        <f t="shared" si="6"/>
        <v>22</v>
      </c>
      <c r="G148" t="str">
        <f t="shared" si="7"/>
        <v>Wednesday</v>
      </c>
      <c r="H148" t="str">
        <f t="shared" si="8"/>
        <v>February</v>
      </c>
    </row>
    <row r="149" spans="1:8" x14ac:dyDescent="0.35">
      <c r="A149" s="1">
        <v>46071</v>
      </c>
      <c r="B149" t="s">
        <v>9</v>
      </c>
      <c r="C149" t="s">
        <v>17</v>
      </c>
      <c r="D149">
        <v>5</v>
      </c>
      <c r="E149" s="4">
        <v>3.75</v>
      </c>
      <c r="F149" s="4">
        <f t="shared" si="6"/>
        <v>18.75</v>
      </c>
      <c r="G149" t="str">
        <f t="shared" si="7"/>
        <v>Wednesday</v>
      </c>
      <c r="H149" t="str">
        <f t="shared" si="8"/>
        <v>February</v>
      </c>
    </row>
    <row r="150" spans="1:8" x14ac:dyDescent="0.35">
      <c r="A150" s="1">
        <v>46071</v>
      </c>
      <c r="B150" t="s">
        <v>11</v>
      </c>
      <c r="C150" t="s">
        <v>18</v>
      </c>
      <c r="D150">
        <v>3</v>
      </c>
      <c r="E150" s="4">
        <v>6.5</v>
      </c>
      <c r="F150" s="4">
        <f t="shared" si="6"/>
        <v>19.5</v>
      </c>
      <c r="G150" t="str">
        <f t="shared" si="7"/>
        <v>Wednesday</v>
      </c>
      <c r="H150" t="str">
        <f t="shared" si="8"/>
        <v>February</v>
      </c>
    </row>
    <row r="151" spans="1:8" x14ac:dyDescent="0.35">
      <c r="A151" s="1">
        <v>46072</v>
      </c>
      <c r="B151" t="s">
        <v>7</v>
      </c>
      <c r="C151" t="s">
        <v>16</v>
      </c>
      <c r="D151">
        <v>2</v>
      </c>
      <c r="E151" s="4">
        <v>3.5</v>
      </c>
      <c r="F151" s="4">
        <f t="shared" si="6"/>
        <v>7</v>
      </c>
      <c r="G151" t="str">
        <f t="shared" si="7"/>
        <v>Thursday</v>
      </c>
      <c r="H151" t="str">
        <f t="shared" si="8"/>
        <v>February</v>
      </c>
    </row>
    <row r="152" spans="1:8" x14ac:dyDescent="0.35">
      <c r="A152" s="1">
        <v>46072</v>
      </c>
      <c r="B152" t="s">
        <v>8</v>
      </c>
      <c r="C152" t="s">
        <v>16</v>
      </c>
      <c r="D152">
        <v>4</v>
      </c>
      <c r="E152" s="4">
        <v>4.25</v>
      </c>
      <c r="F152" s="4">
        <f t="shared" si="6"/>
        <v>17</v>
      </c>
      <c r="G152" t="str">
        <f t="shared" si="7"/>
        <v>Thursday</v>
      </c>
      <c r="H152" t="str">
        <f t="shared" si="8"/>
        <v>February</v>
      </c>
    </row>
    <row r="153" spans="1:8" x14ac:dyDescent="0.35">
      <c r="A153" s="1">
        <v>46072</v>
      </c>
      <c r="B153" t="s">
        <v>13</v>
      </c>
      <c r="C153" t="s">
        <v>16</v>
      </c>
      <c r="D153">
        <v>2</v>
      </c>
      <c r="E153" s="4">
        <v>4.75</v>
      </c>
      <c r="F153" s="4">
        <f t="shared" si="6"/>
        <v>9.5</v>
      </c>
      <c r="G153" t="str">
        <f t="shared" si="7"/>
        <v>Thursday</v>
      </c>
      <c r="H153" t="str">
        <f t="shared" si="8"/>
        <v>February</v>
      </c>
    </row>
    <row r="154" spans="1:8" x14ac:dyDescent="0.35">
      <c r="A154" s="1">
        <v>46073</v>
      </c>
      <c r="B154" t="s">
        <v>6</v>
      </c>
      <c r="C154" t="s">
        <v>16</v>
      </c>
      <c r="D154">
        <v>2</v>
      </c>
      <c r="E154" s="4">
        <v>4.5</v>
      </c>
      <c r="F154" s="4">
        <f t="shared" si="6"/>
        <v>9</v>
      </c>
      <c r="G154" t="str">
        <f t="shared" si="7"/>
        <v>Friday</v>
      </c>
      <c r="H154" t="str">
        <f t="shared" si="8"/>
        <v>February</v>
      </c>
    </row>
    <row r="155" spans="1:8" x14ac:dyDescent="0.35">
      <c r="A155" s="1">
        <v>46073</v>
      </c>
      <c r="B155" t="s">
        <v>12</v>
      </c>
      <c r="C155" t="s">
        <v>17</v>
      </c>
      <c r="D155">
        <v>8</v>
      </c>
      <c r="E155" s="4">
        <v>2.5</v>
      </c>
      <c r="F155" s="4">
        <f t="shared" si="6"/>
        <v>20</v>
      </c>
      <c r="G155" t="str">
        <f t="shared" si="7"/>
        <v>Friday</v>
      </c>
      <c r="H155" t="str">
        <f t="shared" si="8"/>
        <v>February</v>
      </c>
    </row>
    <row r="156" spans="1:8" x14ac:dyDescent="0.35">
      <c r="A156" s="1">
        <v>46073</v>
      </c>
      <c r="B156" t="s">
        <v>15</v>
      </c>
      <c r="C156" t="s">
        <v>16</v>
      </c>
      <c r="D156">
        <v>6</v>
      </c>
      <c r="E156" s="4">
        <v>4.5</v>
      </c>
      <c r="F156" s="4">
        <f t="shared" si="6"/>
        <v>27</v>
      </c>
      <c r="G156" t="str">
        <f t="shared" si="7"/>
        <v>Friday</v>
      </c>
      <c r="H156" t="str">
        <f t="shared" si="8"/>
        <v>February</v>
      </c>
    </row>
    <row r="157" spans="1:8" x14ac:dyDescent="0.35">
      <c r="A157" s="1">
        <v>46074</v>
      </c>
      <c r="B157" t="s">
        <v>10</v>
      </c>
      <c r="C157" t="s">
        <v>17</v>
      </c>
      <c r="D157">
        <v>3</v>
      </c>
      <c r="E157" s="4">
        <v>3.25</v>
      </c>
      <c r="F157" s="4">
        <f t="shared" si="6"/>
        <v>9.75</v>
      </c>
      <c r="G157" t="str">
        <f t="shared" si="7"/>
        <v>Saturday</v>
      </c>
      <c r="H157" t="str">
        <f t="shared" si="8"/>
        <v>February</v>
      </c>
    </row>
    <row r="158" spans="1:8" x14ac:dyDescent="0.35">
      <c r="A158" s="1">
        <v>46074</v>
      </c>
      <c r="B158" t="s">
        <v>14</v>
      </c>
      <c r="C158" t="s">
        <v>16</v>
      </c>
      <c r="D158">
        <v>2</v>
      </c>
      <c r="E158" s="4">
        <v>5.5</v>
      </c>
      <c r="F158" s="4">
        <f t="shared" si="6"/>
        <v>11</v>
      </c>
      <c r="G158" t="str">
        <f t="shared" si="7"/>
        <v>Saturday</v>
      </c>
      <c r="H158" t="str">
        <f t="shared" si="8"/>
        <v>February</v>
      </c>
    </row>
    <row r="159" spans="1:8" x14ac:dyDescent="0.35">
      <c r="A159" s="1">
        <v>46074</v>
      </c>
      <c r="B159" t="s">
        <v>9</v>
      </c>
      <c r="C159" t="s">
        <v>17</v>
      </c>
      <c r="D159">
        <v>1</v>
      </c>
      <c r="E159" s="4">
        <v>3.75</v>
      </c>
      <c r="F159" s="4">
        <f t="shared" si="6"/>
        <v>3.75</v>
      </c>
      <c r="G159" t="str">
        <f t="shared" si="7"/>
        <v>Saturday</v>
      </c>
      <c r="H159" t="str">
        <f t="shared" si="8"/>
        <v>February</v>
      </c>
    </row>
    <row r="160" spans="1:8" x14ac:dyDescent="0.35">
      <c r="A160" s="1">
        <v>46075</v>
      </c>
      <c r="B160" t="s">
        <v>11</v>
      </c>
      <c r="C160" t="s">
        <v>18</v>
      </c>
      <c r="D160">
        <v>4</v>
      </c>
      <c r="E160" s="4">
        <v>6.5</v>
      </c>
      <c r="F160" s="4">
        <f t="shared" si="6"/>
        <v>26</v>
      </c>
      <c r="G160" t="str">
        <f t="shared" si="7"/>
        <v>Sunday</v>
      </c>
      <c r="H160" t="str">
        <f t="shared" si="8"/>
        <v>February</v>
      </c>
    </row>
    <row r="161" spans="1:8" x14ac:dyDescent="0.35">
      <c r="A161" s="1">
        <v>46075</v>
      </c>
      <c r="B161" t="s">
        <v>7</v>
      </c>
      <c r="C161" t="s">
        <v>16</v>
      </c>
      <c r="D161">
        <v>5</v>
      </c>
      <c r="E161" s="4">
        <v>3.5</v>
      </c>
      <c r="F161" s="4">
        <f t="shared" si="6"/>
        <v>17.5</v>
      </c>
      <c r="G161" t="str">
        <f t="shared" si="7"/>
        <v>Sunday</v>
      </c>
      <c r="H161" t="str">
        <f t="shared" si="8"/>
        <v>February</v>
      </c>
    </row>
    <row r="162" spans="1:8" x14ac:dyDescent="0.35">
      <c r="A162" s="1">
        <v>46075</v>
      </c>
      <c r="B162" t="s">
        <v>8</v>
      </c>
      <c r="C162" t="s">
        <v>16</v>
      </c>
      <c r="D162">
        <v>1</v>
      </c>
      <c r="E162" s="4">
        <v>4.25</v>
      </c>
      <c r="F162" s="4">
        <f t="shared" si="6"/>
        <v>4.25</v>
      </c>
      <c r="G162" t="str">
        <f t="shared" si="7"/>
        <v>Sunday</v>
      </c>
      <c r="H162" t="str">
        <f t="shared" si="8"/>
        <v>February</v>
      </c>
    </row>
    <row r="163" spans="1:8" x14ac:dyDescent="0.35">
      <c r="A163" s="1">
        <v>46076</v>
      </c>
      <c r="B163" t="s">
        <v>13</v>
      </c>
      <c r="C163" t="s">
        <v>16</v>
      </c>
      <c r="D163">
        <v>3</v>
      </c>
      <c r="E163" s="4">
        <v>4.75</v>
      </c>
      <c r="F163" s="4">
        <f t="shared" si="6"/>
        <v>14.25</v>
      </c>
      <c r="G163" t="str">
        <f t="shared" si="7"/>
        <v>Monday</v>
      </c>
      <c r="H163" t="str">
        <f t="shared" si="8"/>
        <v>February</v>
      </c>
    </row>
    <row r="164" spans="1:8" x14ac:dyDescent="0.35">
      <c r="A164" s="1">
        <v>46076</v>
      </c>
      <c r="B164" t="s">
        <v>6</v>
      </c>
      <c r="C164" t="s">
        <v>16</v>
      </c>
      <c r="D164">
        <v>3</v>
      </c>
      <c r="E164" s="4">
        <v>4.5</v>
      </c>
      <c r="F164" s="4">
        <f t="shared" si="6"/>
        <v>13.5</v>
      </c>
      <c r="G164" t="str">
        <f t="shared" si="7"/>
        <v>Monday</v>
      </c>
      <c r="H164" t="str">
        <f t="shared" si="8"/>
        <v>February</v>
      </c>
    </row>
    <row r="165" spans="1:8" x14ac:dyDescent="0.35">
      <c r="A165" s="1">
        <v>46076</v>
      </c>
      <c r="B165" t="s">
        <v>12</v>
      </c>
      <c r="C165" t="s">
        <v>17</v>
      </c>
      <c r="D165">
        <v>7</v>
      </c>
      <c r="E165" s="4">
        <v>2.5</v>
      </c>
      <c r="F165" s="4">
        <f t="shared" si="6"/>
        <v>17.5</v>
      </c>
      <c r="G165" t="str">
        <f t="shared" si="7"/>
        <v>Monday</v>
      </c>
      <c r="H165" t="str">
        <f t="shared" si="8"/>
        <v>February</v>
      </c>
    </row>
    <row r="166" spans="1:8" x14ac:dyDescent="0.35">
      <c r="A166" s="1">
        <v>46077</v>
      </c>
      <c r="B166" t="s">
        <v>15</v>
      </c>
      <c r="C166" t="s">
        <v>16</v>
      </c>
      <c r="D166">
        <v>2</v>
      </c>
      <c r="E166" s="4">
        <v>4.5</v>
      </c>
      <c r="F166" s="4">
        <f t="shared" si="6"/>
        <v>9</v>
      </c>
      <c r="G166" t="str">
        <f t="shared" si="7"/>
        <v>Tuesday</v>
      </c>
      <c r="H166" t="str">
        <f t="shared" si="8"/>
        <v>February</v>
      </c>
    </row>
    <row r="167" spans="1:8" x14ac:dyDescent="0.35">
      <c r="A167" s="1">
        <v>46077</v>
      </c>
      <c r="B167" t="s">
        <v>10</v>
      </c>
      <c r="C167" t="s">
        <v>17</v>
      </c>
      <c r="D167">
        <v>4</v>
      </c>
      <c r="E167" s="4">
        <v>3.25</v>
      </c>
      <c r="F167" s="4">
        <f t="shared" si="6"/>
        <v>13</v>
      </c>
      <c r="G167" t="str">
        <f t="shared" si="7"/>
        <v>Tuesday</v>
      </c>
      <c r="H167" t="str">
        <f t="shared" si="8"/>
        <v>February</v>
      </c>
    </row>
    <row r="168" spans="1:8" x14ac:dyDescent="0.35">
      <c r="A168" s="1">
        <v>46077</v>
      </c>
      <c r="B168" t="s">
        <v>14</v>
      </c>
      <c r="C168" t="s">
        <v>16</v>
      </c>
      <c r="D168">
        <v>1</v>
      </c>
      <c r="E168" s="4">
        <v>5.5</v>
      </c>
      <c r="F168" s="4">
        <f t="shared" si="6"/>
        <v>5.5</v>
      </c>
      <c r="G168" t="str">
        <f t="shared" si="7"/>
        <v>Tuesday</v>
      </c>
      <c r="H168" t="str">
        <f t="shared" si="8"/>
        <v>February</v>
      </c>
    </row>
    <row r="169" spans="1:8" x14ac:dyDescent="0.35">
      <c r="A169" s="1">
        <v>46078</v>
      </c>
      <c r="B169" t="s">
        <v>9</v>
      </c>
      <c r="C169" t="s">
        <v>17</v>
      </c>
      <c r="D169">
        <v>4</v>
      </c>
      <c r="E169" s="4">
        <v>3.75</v>
      </c>
      <c r="F169" s="4">
        <f t="shared" si="6"/>
        <v>15</v>
      </c>
      <c r="G169" t="str">
        <f t="shared" si="7"/>
        <v>Wednesday</v>
      </c>
      <c r="H169" t="str">
        <f t="shared" si="8"/>
        <v>February</v>
      </c>
    </row>
    <row r="170" spans="1:8" x14ac:dyDescent="0.35">
      <c r="A170" s="1">
        <v>46078</v>
      </c>
      <c r="B170" t="s">
        <v>11</v>
      </c>
      <c r="C170" t="s">
        <v>18</v>
      </c>
      <c r="D170">
        <v>2</v>
      </c>
      <c r="E170" s="4">
        <v>6.5</v>
      </c>
      <c r="F170" s="4">
        <f t="shared" si="6"/>
        <v>13</v>
      </c>
      <c r="G170" t="str">
        <f t="shared" si="7"/>
        <v>Wednesday</v>
      </c>
      <c r="H170" t="str">
        <f t="shared" si="8"/>
        <v>February</v>
      </c>
    </row>
    <row r="171" spans="1:8" x14ac:dyDescent="0.35">
      <c r="A171" s="1">
        <v>46078</v>
      </c>
      <c r="B171" t="s">
        <v>7</v>
      </c>
      <c r="C171" t="s">
        <v>16</v>
      </c>
      <c r="D171">
        <v>3</v>
      </c>
      <c r="E171" s="4">
        <v>3.5</v>
      </c>
      <c r="F171" s="4">
        <f t="shared" si="6"/>
        <v>10.5</v>
      </c>
      <c r="G171" t="str">
        <f t="shared" si="7"/>
        <v>Wednesday</v>
      </c>
      <c r="H171" t="str">
        <f t="shared" si="8"/>
        <v>February</v>
      </c>
    </row>
    <row r="172" spans="1:8" x14ac:dyDescent="0.35">
      <c r="A172" s="1">
        <v>46079</v>
      </c>
      <c r="B172" t="s">
        <v>8</v>
      </c>
      <c r="C172" t="s">
        <v>16</v>
      </c>
      <c r="D172">
        <v>5</v>
      </c>
      <c r="E172" s="4">
        <v>4.25</v>
      </c>
      <c r="F172" s="4">
        <f t="shared" si="6"/>
        <v>21.25</v>
      </c>
      <c r="G172" t="str">
        <f t="shared" si="7"/>
        <v>Thursday</v>
      </c>
      <c r="H172" t="str">
        <f t="shared" si="8"/>
        <v>February</v>
      </c>
    </row>
    <row r="173" spans="1:8" x14ac:dyDescent="0.35">
      <c r="A173" s="1">
        <v>46079</v>
      </c>
      <c r="B173" t="s">
        <v>13</v>
      </c>
      <c r="C173" t="s">
        <v>16</v>
      </c>
      <c r="D173">
        <v>1</v>
      </c>
      <c r="E173" s="4">
        <v>4.75</v>
      </c>
      <c r="F173" s="4">
        <f t="shared" si="6"/>
        <v>4.75</v>
      </c>
      <c r="G173" t="str">
        <f t="shared" si="7"/>
        <v>Thursday</v>
      </c>
      <c r="H173" t="str">
        <f t="shared" si="8"/>
        <v>February</v>
      </c>
    </row>
    <row r="174" spans="1:8" x14ac:dyDescent="0.35">
      <c r="A174" s="1">
        <v>46079</v>
      </c>
      <c r="B174" t="s">
        <v>6</v>
      </c>
      <c r="C174" t="s">
        <v>16</v>
      </c>
      <c r="D174">
        <v>4</v>
      </c>
      <c r="E174" s="4">
        <v>4.5</v>
      </c>
      <c r="F174" s="4">
        <f t="shared" si="6"/>
        <v>18</v>
      </c>
      <c r="G174" t="str">
        <f t="shared" si="7"/>
        <v>Thursday</v>
      </c>
      <c r="H174" t="str">
        <f t="shared" si="8"/>
        <v>February</v>
      </c>
    </row>
    <row r="175" spans="1:8" x14ac:dyDescent="0.35">
      <c r="A175" s="1">
        <v>46080</v>
      </c>
      <c r="B175" t="s">
        <v>12</v>
      </c>
      <c r="C175" t="s">
        <v>17</v>
      </c>
      <c r="D175">
        <v>9</v>
      </c>
      <c r="E175" s="4">
        <v>2.5</v>
      </c>
      <c r="F175" s="4">
        <f t="shared" si="6"/>
        <v>22.5</v>
      </c>
      <c r="G175" t="str">
        <f t="shared" si="7"/>
        <v>Friday</v>
      </c>
      <c r="H175" t="str">
        <f t="shared" si="8"/>
        <v>February</v>
      </c>
    </row>
    <row r="176" spans="1:8" x14ac:dyDescent="0.35">
      <c r="A176" s="1">
        <v>46080</v>
      </c>
      <c r="B176" t="s">
        <v>15</v>
      </c>
      <c r="C176" t="s">
        <v>16</v>
      </c>
      <c r="D176">
        <v>3</v>
      </c>
      <c r="E176" s="4">
        <v>4.5</v>
      </c>
      <c r="F176" s="4">
        <f t="shared" si="6"/>
        <v>13.5</v>
      </c>
      <c r="G176" t="str">
        <f t="shared" si="7"/>
        <v>Friday</v>
      </c>
      <c r="H176" t="str">
        <f t="shared" si="8"/>
        <v>February</v>
      </c>
    </row>
    <row r="177" spans="1:8" x14ac:dyDescent="0.35">
      <c r="A177" s="1">
        <v>46080</v>
      </c>
      <c r="B177" t="s">
        <v>10</v>
      </c>
      <c r="C177" t="s">
        <v>17</v>
      </c>
      <c r="D177">
        <v>1</v>
      </c>
      <c r="E177" s="4">
        <v>3.25</v>
      </c>
      <c r="F177" s="4">
        <f t="shared" si="6"/>
        <v>3.25</v>
      </c>
      <c r="G177" t="str">
        <f t="shared" si="7"/>
        <v>Friday</v>
      </c>
      <c r="H177" t="str">
        <f t="shared" si="8"/>
        <v>February</v>
      </c>
    </row>
    <row r="178" spans="1:8" x14ac:dyDescent="0.35">
      <c r="A178" s="1">
        <v>46081</v>
      </c>
      <c r="B178" t="s">
        <v>14</v>
      </c>
      <c r="C178" t="s">
        <v>16</v>
      </c>
      <c r="D178">
        <v>3</v>
      </c>
      <c r="E178" s="4">
        <v>5.5</v>
      </c>
      <c r="F178" s="4">
        <f t="shared" si="6"/>
        <v>16.5</v>
      </c>
      <c r="G178" t="str">
        <f t="shared" si="7"/>
        <v>Saturday</v>
      </c>
      <c r="H178" t="str">
        <f t="shared" si="8"/>
        <v>February</v>
      </c>
    </row>
    <row r="179" spans="1:8" x14ac:dyDescent="0.35">
      <c r="A179" s="1">
        <v>46081</v>
      </c>
      <c r="B179" t="s">
        <v>9</v>
      </c>
      <c r="C179" t="s">
        <v>17</v>
      </c>
      <c r="D179">
        <v>2</v>
      </c>
      <c r="E179" s="4">
        <v>3.75</v>
      </c>
      <c r="F179" s="4">
        <f t="shared" si="6"/>
        <v>7.5</v>
      </c>
      <c r="G179" t="str">
        <f t="shared" si="7"/>
        <v>Saturday</v>
      </c>
      <c r="H179" t="str">
        <f t="shared" si="8"/>
        <v>February</v>
      </c>
    </row>
    <row r="180" spans="1:8" x14ac:dyDescent="0.35">
      <c r="A180" s="1">
        <v>46081</v>
      </c>
      <c r="B180" t="s">
        <v>11</v>
      </c>
      <c r="C180" t="s">
        <v>18</v>
      </c>
      <c r="D180">
        <v>5</v>
      </c>
      <c r="E180" s="4">
        <v>6.5</v>
      </c>
      <c r="F180" s="4">
        <f t="shared" si="6"/>
        <v>32.5</v>
      </c>
      <c r="G180" t="str">
        <f t="shared" si="7"/>
        <v>Saturday</v>
      </c>
      <c r="H180" t="str">
        <f t="shared" si="8"/>
        <v>February</v>
      </c>
    </row>
    <row r="181" spans="1:8" x14ac:dyDescent="0.35">
      <c r="A181" s="1">
        <v>46082</v>
      </c>
      <c r="B181" t="s">
        <v>7</v>
      </c>
      <c r="C181" t="s">
        <v>16</v>
      </c>
      <c r="D181">
        <v>2</v>
      </c>
      <c r="E181" s="4">
        <v>3.5</v>
      </c>
      <c r="F181" s="4">
        <f t="shared" si="6"/>
        <v>7</v>
      </c>
      <c r="G181" t="str">
        <f t="shared" si="7"/>
        <v>Sunday</v>
      </c>
      <c r="H181" t="str">
        <f t="shared" si="8"/>
        <v>March</v>
      </c>
    </row>
    <row r="182" spans="1:8" x14ac:dyDescent="0.35">
      <c r="A182" s="1">
        <v>46082</v>
      </c>
      <c r="B182" t="s">
        <v>8</v>
      </c>
      <c r="C182" t="s">
        <v>16</v>
      </c>
      <c r="D182">
        <v>3</v>
      </c>
      <c r="E182" s="4">
        <v>4.25</v>
      </c>
      <c r="F182" s="4">
        <f t="shared" si="6"/>
        <v>12.75</v>
      </c>
      <c r="G182" t="str">
        <f t="shared" si="7"/>
        <v>Sunday</v>
      </c>
      <c r="H182" t="str">
        <f t="shared" si="8"/>
        <v>March</v>
      </c>
    </row>
    <row r="183" spans="1:8" x14ac:dyDescent="0.35">
      <c r="A183" s="1">
        <v>46082</v>
      </c>
      <c r="B183" t="s">
        <v>13</v>
      </c>
      <c r="C183" t="s">
        <v>16</v>
      </c>
      <c r="D183">
        <v>4</v>
      </c>
      <c r="E183" s="4">
        <v>4.75</v>
      </c>
      <c r="F183" s="4">
        <f t="shared" si="6"/>
        <v>19</v>
      </c>
      <c r="G183" t="str">
        <f t="shared" si="7"/>
        <v>Sunday</v>
      </c>
      <c r="H183" t="str">
        <f t="shared" si="8"/>
        <v>March</v>
      </c>
    </row>
    <row r="184" spans="1:8" x14ac:dyDescent="0.35">
      <c r="A184" s="1">
        <v>46083</v>
      </c>
      <c r="B184" t="s">
        <v>6</v>
      </c>
      <c r="C184" t="s">
        <v>16</v>
      </c>
      <c r="D184">
        <v>1</v>
      </c>
      <c r="E184" s="4">
        <v>4.5</v>
      </c>
      <c r="F184" s="4">
        <f t="shared" si="6"/>
        <v>4.5</v>
      </c>
      <c r="G184" t="str">
        <f t="shared" si="7"/>
        <v>Monday</v>
      </c>
      <c r="H184" t="str">
        <f t="shared" si="8"/>
        <v>March</v>
      </c>
    </row>
    <row r="185" spans="1:8" x14ac:dyDescent="0.35">
      <c r="A185" s="1">
        <v>46083</v>
      </c>
      <c r="B185" t="s">
        <v>12</v>
      </c>
      <c r="C185" t="s">
        <v>17</v>
      </c>
      <c r="D185">
        <v>11</v>
      </c>
      <c r="E185" s="4">
        <v>2.5</v>
      </c>
      <c r="F185" s="4">
        <f t="shared" si="6"/>
        <v>27.5</v>
      </c>
      <c r="G185" t="str">
        <f t="shared" si="7"/>
        <v>Monday</v>
      </c>
      <c r="H185" t="str">
        <f t="shared" si="8"/>
        <v>March</v>
      </c>
    </row>
    <row r="186" spans="1:8" x14ac:dyDescent="0.35">
      <c r="A186" s="1">
        <v>46083</v>
      </c>
      <c r="B186" t="s">
        <v>15</v>
      </c>
      <c r="C186" t="s">
        <v>16</v>
      </c>
      <c r="D186">
        <v>5</v>
      </c>
      <c r="E186" s="4">
        <v>4.5</v>
      </c>
      <c r="F186" s="4">
        <f t="shared" si="6"/>
        <v>22.5</v>
      </c>
      <c r="G186" t="str">
        <f t="shared" si="7"/>
        <v>Monday</v>
      </c>
      <c r="H186" t="str">
        <f t="shared" si="8"/>
        <v>March</v>
      </c>
    </row>
    <row r="187" spans="1:8" x14ac:dyDescent="0.35">
      <c r="A187" s="1">
        <v>46084</v>
      </c>
      <c r="B187" t="s">
        <v>10</v>
      </c>
      <c r="C187" t="s">
        <v>17</v>
      </c>
      <c r="D187">
        <v>2</v>
      </c>
      <c r="E187" s="4">
        <v>3.25</v>
      </c>
      <c r="F187" s="4">
        <f t="shared" si="6"/>
        <v>6.5</v>
      </c>
      <c r="G187" t="str">
        <f t="shared" si="7"/>
        <v>Tuesday</v>
      </c>
      <c r="H187" t="str">
        <f t="shared" si="8"/>
        <v>March</v>
      </c>
    </row>
    <row r="188" spans="1:8" x14ac:dyDescent="0.35">
      <c r="A188" s="1">
        <v>46084</v>
      </c>
      <c r="B188" t="s">
        <v>14</v>
      </c>
      <c r="C188" t="s">
        <v>16</v>
      </c>
      <c r="D188">
        <v>4</v>
      </c>
      <c r="E188" s="4">
        <v>5.5</v>
      </c>
      <c r="F188" s="4">
        <f t="shared" si="6"/>
        <v>22</v>
      </c>
      <c r="G188" t="str">
        <f t="shared" si="7"/>
        <v>Tuesday</v>
      </c>
      <c r="H188" t="str">
        <f t="shared" si="8"/>
        <v>March</v>
      </c>
    </row>
    <row r="189" spans="1:8" x14ac:dyDescent="0.35">
      <c r="A189" s="1">
        <v>46084</v>
      </c>
      <c r="B189" t="s">
        <v>9</v>
      </c>
      <c r="C189" t="s">
        <v>17</v>
      </c>
      <c r="D189">
        <v>3</v>
      </c>
      <c r="E189" s="4">
        <v>3.75</v>
      </c>
      <c r="F189" s="4">
        <f t="shared" si="6"/>
        <v>11.25</v>
      </c>
      <c r="G189" t="str">
        <f t="shared" si="7"/>
        <v>Tuesday</v>
      </c>
      <c r="H189" t="str">
        <f t="shared" si="8"/>
        <v>March</v>
      </c>
    </row>
    <row r="190" spans="1:8" x14ac:dyDescent="0.35">
      <c r="A190" s="1">
        <v>46085</v>
      </c>
      <c r="B190" t="s">
        <v>11</v>
      </c>
      <c r="C190" t="s">
        <v>18</v>
      </c>
      <c r="D190">
        <v>1</v>
      </c>
      <c r="E190" s="4">
        <v>6.5</v>
      </c>
      <c r="F190" s="4">
        <f t="shared" si="6"/>
        <v>6.5</v>
      </c>
      <c r="G190" t="str">
        <f t="shared" si="7"/>
        <v>Wednesday</v>
      </c>
      <c r="H190" t="str">
        <f t="shared" si="8"/>
        <v>March</v>
      </c>
    </row>
    <row r="191" spans="1:8" x14ac:dyDescent="0.35">
      <c r="A191" s="1">
        <v>46085</v>
      </c>
      <c r="B191" t="s">
        <v>7</v>
      </c>
      <c r="C191" t="s">
        <v>16</v>
      </c>
      <c r="D191">
        <v>4</v>
      </c>
      <c r="E191" s="4">
        <v>3.5</v>
      </c>
      <c r="F191" s="4">
        <f t="shared" si="6"/>
        <v>14</v>
      </c>
      <c r="G191" t="str">
        <f t="shared" si="7"/>
        <v>Wednesday</v>
      </c>
      <c r="H191" t="str">
        <f t="shared" si="8"/>
        <v>March</v>
      </c>
    </row>
    <row r="192" spans="1:8" x14ac:dyDescent="0.35">
      <c r="A192" s="1">
        <v>46085</v>
      </c>
      <c r="B192" t="s">
        <v>8</v>
      </c>
      <c r="C192" t="s">
        <v>16</v>
      </c>
      <c r="D192">
        <v>2</v>
      </c>
      <c r="E192" s="4">
        <v>4.25</v>
      </c>
      <c r="F192" s="4">
        <f t="shared" si="6"/>
        <v>8.5</v>
      </c>
      <c r="G192" t="str">
        <f t="shared" si="7"/>
        <v>Wednesday</v>
      </c>
      <c r="H192" t="str">
        <f t="shared" si="8"/>
        <v>March</v>
      </c>
    </row>
    <row r="193" spans="1:8" x14ac:dyDescent="0.35">
      <c r="A193" s="1">
        <v>46086</v>
      </c>
      <c r="B193" t="s">
        <v>13</v>
      </c>
      <c r="C193" t="s">
        <v>16</v>
      </c>
      <c r="D193">
        <v>3</v>
      </c>
      <c r="E193" s="4">
        <v>4.75</v>
      </c>
      <c r="F193" s="4">
        <f t="shared" si="6"/>
        <v>14.25</v>
      </c>
      <c r="G193" t="str">
        <f t="shared" si="7"/>
        <v>Thursday</v>
      </c>
      <c r="H193" t="str">
        <f t="shared" si="8"/>
        <v>March</v>
      </c>
    </row>
    <row r="194" spans="1:8" x14ac:dyDescent="0.35">
      <c r="A194" s="1">
        <v>46086</v>
      </c>
      <c r="B194" t="s">
        <v>6</v>
      </c>
      <c r="C194" t="s">
        <v>16</v>
      </c>
      <c r="D194">
        <v>5</v>
      </c>
      <c r="E194" s="4">
        <v>4.5</v>
      </c>
      <c r="F194" s="4">
        <f t="shared" si="6"/>
        <v>22.5</v>
      </c>
      <c r="G194" t="str">
        <f t="shared" si="7"/>
        <v>Thursday</v>
      </c>
      <c r="H194" t="str">
        <f t="shared" si="8"/>
        <v>March</v>
      </c>
    </row>
    <row r="195" spans="1:8" x14ac:dyDescent="0.35">
      <c r="A195" s="1">
        <v>46086</v>
      </c>
      <c r="B195" t="s">
        <v>12</v>
      </c>
      <c r="C195" t="s">
        <v>17</v>
      </c>
      <c r="D195">
        <v>6</v>
      </c>
      <c r="E195" s="4">
        <v>2.5</v>
      </c>
      <c r="F195" s="4">
        <f t="shared" si="6"/>
        <v>15</v>
      </c>
      <c r="G195" t="str">
        <f t="shared" si="7"/>
        <v>Thursday</v>
      </c>
      <c r="H195" t="str">
        <f t="shared" si="8"/>
        <v>March</v>
      </c>
    </row>
    <row r="196" spans="1:8" x14ac:dyDescent="0.35">
      <c r="A196" s="1">
        <v>46087</v>
      </c>
      <c r="B196" t="s">
        <v>15</v>
      </c>
      <c r="C196" t="s">
        <v>16</v>
      </c>
      <c r="D196">
        <v>2</v>
      </c>
      <c r="E196" s="4">
        <v>4.5</v>
      </c>
      <c r="F196" s="4">
        <f t="shared" si="6"/>
        <v>9</v>
      </c>
      <c r="G196" t="str">
        <f t="shared" si="7"/>
        <v>Friday</v>
      </c>
      <c r="H196" t="str">
        <f t="shared" si="8"/>
        <v>March</v>
      </c>
    </row>
    <row r="197" spans="1:8" x14ac:dyDescent="0.35">
      <c r="A197" s="1">
        <v>46087</v>
      </c>
      <c r="B197" t="s">
        <v>10</v>
      </c>
      <c r="C197" t="s">
        <v>17</v>
      </c>
      <c r="D197">
        <v>5</v>
      </c>
      <c r="E197" s="4">
        <v>3.25</v>
      </c>
      <c r="F197" s="4">
        <f t="shared" ref="F197:F260" si="9">D197*E197</f>
        <v>16.25</v>
      </c>
      <c r="G197" t="str">
        <f t="shared" ref="G197:G260" si="10">TEXT(A197,"dddd")</f>
        <v>Friday</v>
      </c>
      <c r="H197" t="str">
        <f t="shared" ref="H197:H260" si="11">TEXT(A197,"mmmm")</f>
        <v>March</v>
      </c>
    </row>
    <row r="198" spans="1:8" x14ac:dyDescent="0.35">
      <c r="A198" s="1">
        <v>46087</v>
      </c>
      <c r="B198" t="s">
        <v>14</v>
      </c>
      <c r="C198" t="s">
        <v>16</v>
      </c>
      <c r="D198">
        <v>2</v>
      </c>
      <c r="E198" s="4">
        <v>5.5</v>
      </c>
      <c r="F198" s="4">
        <f t="shared" si="9"/>
        <v>11</v>
      </c>
      <c r="G198" t="str">
        <f t="shared" si="10"/>
        <v>Friday</v>
      </c>
      <c r="H198" t="str">
        <f t="shared" si="11"/>
        <v>March</v>
      </c>
    </row>
    <row r="199" spans="1:8" x14ac:dyDescent="0.35">
      <c r="A199" s="1">
        <v>46088</v>
      </c>
      <c r="B199" t="s">
        <v>9</v>
      </c>
      <c r="C199" t="s">
        <v>17</v>
      </c>
      <c r="D199">
        <v>4</v>
      </c>
      <c r="E199" s="4">
        <v>3.75</v>
      </c>
      <c r="F199" s="4">
        <f t="shared" si="9"/>
        <v>15</v>
      </c>
      <c r="G199" t="str">
        <f t="shared" si="10"/>
        <v>Saturday</v>
      </c>
      <c r="H199" t="str">
        <f t="shared" si="11"/>
        <v>March</v>
      </c>
    </row>
    <row r="200" spans="1:8" x14ac:dyDescent="0.35">
      <c r="A200" s="1">
        <v>46088</v>
      </c>
      <c r="B200" t="s">
        <v>11</v>
      </c>
      <c r="C200" t="s">
        <v>18</v>
      </c>
      <c r="D200">
        <v>3</v>
      </c>
      <c r="E200" s="4">
        <v>6.5</v>
      </c>
      <c r="F200" s="4">
        <f t="shared" si="9"/>
        <v>19.5</v>
      </c>
      <c r="G200" t="str">
        <f t="shared" si="10"/>
        <v>Saturday</v>
      </c>
      <c r="H200" t="str">
        <f t="shared" si="11"/>
        <v>March</v>
      </c>
    </row>
    <row r="201" spans="1:8" x14ac:dyDescent="0.35">
      <c r="A201" s="1">
        <v>46088</v>
      </c>
      <c r="B201" t="s">
        <v>7</v>
      </c>
      <c r="C201" t="s">
        <v>16</v>
      </c>
      <c r="D201">
        <v>1</v>
      </c>
      <c r="E201" s="4">
        <v>3.5</v>
      </c>
      <c r="F201" s="4">
        <f t="shared" si="9"/>
        <v>3.5</v>
      </c>
      <c r="G201" t="str">
        <f t="shared" si="10"/>
        <v>Saturday</v>
      </c>
      <c r="H201" t="str">
        <f t="shared" si="11"/>
        <v>March</v>
      </c>
    </row>
    <row r="202" spans="1:8" x14ac:dyDescent="0.35">
      <c r="A202" s="1">
        <v>46089</v>
      </c>
      <c r="B202" t="s">
        <v>8</v>
      </c>
      <c r="C202" t="s">
        <v>16</v>
      </c>
      <c r="D202">
        <v>4</v>
      </c>
      <c r="E202" s="4">
        <v>4.25</v>
      </c>
      <c r="F202" s="4">
        <f t="shared" si="9"/>
        <v>17</v>
      </c>
      <c r="G202" t="str">
        <f t="shared" si="10"/>
        <v>Sunday</v>
      </c>
      <c r="H202" t="str">
        <f t="shared" si="11"/>
        <v>March</v>
      </c>
    </row>
    <row r="203" spans="1:8" x14ac:dyDescent="0.35">
      <c r="A203" s="1">
        <v>46089</v>
      </c>
      <c r="B203" t="s">
        <v>13</v>
      </c>
      <c r="C203" t="s">
        <v>16</v>
      </c>
      <c r="D203">
        <v>5</v>
      </c>
      <c r="E203" s="4">
        <v>4.75</v>
      </c>
      <c r="F203" s="4">
        <f t="shared" si="9"/>
        <v>23.75</v>
      </c>
      <c r="G203" t="str">
        <f t="shared" si="10"/>
        <v>Sunday</v>
      </c>
      <c r="H203" t="str">
        <f t="shared" si="11"/>
        <v>March</v>
      </c>
    </row>
    <row r="204" spans="1:8" x14ac:dyDescent="0.35">
      <c r="A204" s="1">
        <v>46089</v>
      </c>
      <c r="B204" t="s">
        <v>6</v>
      </c>
      <c r="C204" t="s">
        <v>16</v>
      </c>
      <c r="D204">
        <v>2</v>
      </c>
      <c r="E204" s="4">
        <v>4.5</v>
      </c>
      <c r="F204" s="4">
        <f t="shared" si="9"/>
        <v>9</v>
      </c>
      <c r="G204" t="str">
        <f t="shared" si="10"/>
        <v>Sunday</v>
      </c>
      <c r="H204" t="str">
        <f t="shared" si="11"/>
        <v>March</v>
      </c>
    </row>
    <row r="205" spans="1:8" x14ac:dyDescent="0.35">
      <c r="A205" s="1">
        <v>46090</v>
      </c>
      <c r="B205" t="s">
        <v>12</v>
      </c>
      <c r="C205" t="s">
        <v>17</v>
      </c>
      <c r="D205">
        <v>8</v>
      </c>
      <c r="E205" s="4">
        <v>2.5</v>
      </c>
      <c r="F205" s="4">
        <f t="shared" si="9"/>
        <v>20</v>
      </c>
      <c r="G205" t="str">
        <f t="shared" si="10"/>
        <v>Monday</v>
      </c>
      <c r="H205" t="str">
        <f t="shared" si="11"/>
        <v>March</v>
      </c>
    </row>
    <row r="206" spans="1:8" x14ac:dyDescent="0.35">
      <c r="A206" s="1">
        <v>46090</v>
      </c>
      <c r="B206" t="s">
        <v>15</v>
      </c>
      <c r="C206" t="s">
        <v>16</v>
      </c>
      <c r="D206">
        <v>1</v>
      </c>
      <c r="E206" s="4">
        <v>4.5</v>
      </c>
      <c r="F206" s="4">
        <f t="shared" si="9"/>
        <v>4.5</v>
      </c>
      <c r="G206" t="str">
        <f t="shared" si="10"/>
        <v>Monday</v>
      </c>
      <c r="H206" t="str">
        <f t="shared" si="11"/>
        <v>March</v>
      </c>
    </row>
    <row r="207" spans="1:8" x14ac:dyDescent="0.35">
      <c r="A207" s="1">
        <v>46090</v>
      </c>
      <c r="B207" t="s">
        <v>10</v>
      </c>
      <c r="C207" t="s">
        <v>17</v>
      </c>
      <c r="D207">
        <v>3</v>
      </c>
      <c r="E207" s="4">
        <v>3.25</v>
      </c>
      <c r="F207" s="4">
        <f t="shared" si="9"/>
        <v>9.75</v>
      </c>
      <c r="G207" t="str">
        <f t="shared" si="10"/>
        <v>Monday</v>
      </c>
      <c r="H207" t="str">
        <f t="shared" si="11"/>
        <v>March</v>
      </c>
    </row>
    <row r="208" spans="1:8" x14ac:dyDescent="0.35">
      <c r="A208" s="1">
        <v>46091</v>
      </c>
      <c r="B208" t="s">
        <v>14</v>
      </c>
      <c r="C208" t="s">
        <v>16</v>
      </c>
      <c r="D208">
        <v>5</v>
      </c>
      <c r="E208" s="4">
        <v>5.5</v>
      </c>
      <c r="F208" s="4">
        <f t="shared" si="9"/>
        <v>27.5</v>
      </c>
      <c r="G208" t="str">
        <f t="shared" si="10"/>
        <v>Tuesday</v>
      </c>
      <c r="H208" t="str">
        <f t="shared" si="11"/>
        <v>March</v>
      </c>
    </row>
    <row r="209" spans="1:8" x14ac:dyDescent="0.35">
      <c r="A209" s="1">
        <v>46091</v>
      </c>
      <c r="B209" t="s">
        <v>9</v>
      </c>
      <c r="C209" t="s">
        <v>17</v>
      </c>
      <c r="D209">
        <v>2</v>
      </c>
      <c r="E209" s="4">
        <v>3.75</v>
      </c>
      <c r="F209" s="4">
        <f t="shared" si="9"/>
        <v>7.5</v>
      </c>
      <c r="G209" t="str">
        <f t="shared" si="10"/>
        <v>Tuesday</v>
      </c>
      <c r="H209" t="str">
        <f t="shared" si="11"/>
        <v>March</v>
      </c>
    </row>
    <row r="210" spans="1:8" x14ac:dyDescent="0.35">
      <c r="A210" s="1">
        <v>46091</v>
      </c>
      <c r="B210" t="s">
        <v>11</v>
      </c>
      <c r="C210" t="s">
        <v>18</v>
      </c>
      <c r="D210">
        <v>4</v>
      </c>
      <c r="E210" s="4">
        <v>6.5</v>
      </c>
      <c r="F210" s="4">
        <f t="shared" si="9"/>
        <v>26</v>
      </c>
      <c r="G210" t="str">
        <f t="shared" si="10"/>
        <v>Tuesday</v>
      </c>
      <c r="H210" t="str">
        <f t="shared" si="11"/>
        <v>March</v>
      </c>
    </row>
    <row r="211" spans="1:8" x14ac:dyDescent="0.35">
      <c r="A211" s="1">
        <v>46092</v>
      </c>
      <c r="B211" t="s">
        <v>7</v>
      </c>
      <c r="C211" t="s">
        <v>16</v>
      </c>
      <c r="D211">
        <v>3</v>
      </c>
      <c r="E211" s="4">
        <v>3.5</v>
      </c>
      <c r="F211" s="4">
        <f t="shared" si="9"/>
        <v>10.5</v>
      </c>
      <c r="G211" t="str">
        <f t="shared" si="10"/>
        <v>Wednesday</v>
      </c>
      <c r="H211" t="str">
        <f t="shared" si="11"/>
        <v>March</v>
      </c>
    </row>
    <row r="212" spans="1:8" x14ac:dyDescent="0.35">
      <c r="A212" s="1">
        <v>46092</v>
      </c>
      <c r="B212" t="s">
        <v>8</v>
      </c>
      <c r="C212" t="s">
        <v>16</v>
      </c>
      <c r="D212">
        <v>2</v>
      </c>
      <c r="E212" s="4">
        <v>4.25</v>
      </c>
      <c r="F212" s="4">
        <f t="shared" si="9"/>
        <v>8.5</v>
      </c>
      <c r="G212" t="str">
        <f t="shared" si="10"/>
        <v>Wednesday</v>
      </c>
      <c r="H212" t="str">
        <f t="shared" si="11"/>
        <v>March</v>
      </c>
    </row>
    <row r="213" spans="1:8" x14ac:dyDescent="0.35">
      <c r="A213" s="1">
        <v>46092</v>
      </c>
      <c r="B213" t="s">
        <v>13</v>
      </c>
      <c r="C213" t="s">
        <v>16</v>
      </c>
      <c r="D213">
        <v>1</v>
      </c>
      <c r="E213" s="4">
        <v>4.75</v>
      </c>
      <c r="F213" s="4">
        <f t="shared" si="9"/>
        <v>4.75</v>
      </c>
      <c r="G213" t="str">
        <f t="shared" si="10"/>
        <v>Wednesday</v>
      </c>
      <c r="H213" t="str">
        <f t="shared" si="11"/>
        <v>March</v>
      </c>
    </row>
    <row r="214" spans="1:8" x14ac:dyDescent="0.35">
      <c r="A214" s="1">
        <v>46093</v>
      </c>
      <c r="B214" t="s">
        <v>6</v>
      </c>
      <c r="C214" t="s">
        <v>16</v>
      </c>
      <c r="D214">
        <v>4</v>
      </c>
      <c r="E214" s="4">
        <v>4.5</v>
      </c>
      <c r="F214" s="4">
        <f t="shared" si="9"/>
        <v>18</v>
      </c>
      <c r="G214" t="str">
        <f t="shared" si="10"/>
        <v>Thursday</v>
      </c>
      <c r="H214" t="str">
        <f t="shared" si="11"/>
        <v>March</v>
      </c>
    </row>
    <row r="215" spans="1:8" x14ac:dyDescent="0.35">
      <c r="A215" s="1">
        <v>46093</v>
      </c>
      <c r="B215" t="s">
        <v>12</v>
      </c>
      <c r="C215" t="s">
        <v>17</v>
      </c>
      <c r="D215">
        <v>10</v>
      </c>
      <c r="E215" s="4">
        <v>2.5</v>
      </c>
      <c r="F215" s="4">
        <f t="shared" si="9"/>
        <v>25</v>
      </c>
      <c r="G215" t="str">
        <f t="shared" si="10"/>
        <v>Thursday</v>
      </c>
      <c r="H215" t="str">
        <f t="shared" si="11"/>
        <v>March</v>
      </c>
    </row>
    <row r="216" spans="1:8" x14ac:dyDescent="0.35">
      <c r="A216" s="1">
        <v>46093</v>
      </c>
      <c r="B216" t="s">
        <v>15</v>
      </c>
      <c r="C216" t="s">
        <v>16</v>
      </c>
      <c r="D216">
        <v>4</v>
      </c>
      <c r="E216" s="4">
        <v>4.5</v>
      </c>
      <c r="F216" s="4">
        <f t="shared" si="9"/>
        <v>18</v>
      </c>
      <c r="G216" t="str">
        <f t="shared" si="10"/>
        <v>Thursday</v>
      </c>
      <c r="H216" t="str">
        <f t="shared" si="11"/>
        <v>March</v>
      </c>
    </row>
    <row r="217" spans="1:8" x14ac:dyDescent="0.35">
      <c r="A217" s="1">
        <v>46094</v>
      </c>
      <c r="B217" t="s">
        <v>10</v>
      </c>
      <c r="C217" t="s">
        <v>17</v>
      </c>
      <c r="D217">
        <v>2</v>
      </c>
      <c r="E217" s="4">
        <v>3.25</v>
      </c>
      <c r="F217" s="4">
        <f t="shared" si="9"/>
        <v>6.5</v>
      </c>
      <c r="G217" t="str">
        <f t="shared" si="10"/>
        <v>Friday</v>
      </c>
      <c r="H217" t="str">
        <f t="shared" si="11"/>
        <v>March</v>
      </c>
    </row>
    <row r="218" spans="1:8" x14ac:dyDescent="0.35">
      <c r="A218" s="1">
        <v>46094</v>
      </c>
      <c r="B218" t="s">
        <v>14</v>
      </c>
      <c r="C218" t="s">
        <v>16</v>
      </c>
      <c r="D218">
        <v>3</v>
      </c>
      <c r="E218" s="4">
        <v>5.5</v>
      </c>
      <c r="F218" s="4">
        <f t="shared" si="9"/>
        <v>16.5</v>
      </c>
      <c r="G218" t="str">
        <f t="shared" si="10"/>
        <v>Friday</v>
      </c>
      <c r="H218" t="str">
        <f t="shared" si="11"/>
        <v>March</v>
      </c>
    </row>
    <row r="219" spans="1:8" x14ac:dyDescent="0.35">
      <c r="A219" s="1">
        <v>46094</v>
      </c>
      <c r="B219" t="s">
        <v>9</v>
      </c>
      <c r="C219" t="s">
        <v>17</v>
      </c>
      <c r="D219">
        <v>5</v>
      </c>
      <c r="E219" s="4">
        <v>3.75</v>
      </c>
      <c r="F219" s="4">
        <f t="shared" si="9"/>
        <v>18.75</v>
      </c>
      <c r="G219" t="str">
        <f t="shared" si="10"/>
        <v>Friday</v>
      </c>
      <c r="H219" t="str">
        <f t="shared" si="11"/>
        <v>March</v>
      </c>
    </row>
    <row r="220" spans="1:8" x14ac:dyDescent="0.35">
      <c r="A220" s="1">
        <v>46095</v>
      </c>
      <c r="B220" t="s">
        <v>11</v>
      </c>
      <c r="C220" t="s">
        <v>18</v>
      </c>
      <c r="D220">
        <v>2</v>
      </c>
      <c r="E220" s="4">
        <v>6.5</v>
      </c>
      <c r="F220" s="4">
        <f t="shared" si="9"/>
        <v>13</v>
      </c>
      <c r="G220" t="str">
        <f t="shared" si="10"/>
        <v>Saturday</v>
      </c>
      <c r="H220" t="str">
        <f t="shared" si="11"/>
        <v>March</v>
      </c>
    </row>
    <row r="221" spans="1:8" x14ac:dyDescent="0.35">
      <c r="A221" s="1">
        <v>46095</v>
      </c>
      <c r="B221" t="s">
        <v>7</v>
      </c>
      <c r="C221" t="s">
        <v>16</v>
      </c>
      <c r="D221">
        <v>5</v>
      </c>
      <c r="E221" s="4">
        <v>3.5</v>
      </c>
      <c r="F221" s="4">
        <f t="shared" si="9"/>
        <v>17.5</v>
      </c>
      <c r="G221" t="str">
        <f t="shared" si="10"/>
        <v>Saturday</v>
      </c>
      <c r="H221" t="str">
        <f t="shared" si="11"/>
        <v>March</v>
      </c>
    </row>
    <row r="222" spans="1:8" x14ac:dyDescent="0.35">
      <c r="A222" s="1">
        <v>46095</v>
      </c>
      <c r="B222" t="s">
        <v>8</v>
      </c>
      <c r="C222" t="s">
        <v>16</v>
      </c>
      <c r="D222">
        <v>3</v>
      </c>
      <c r="E222" s="4">
        <v>4.25</v>
      </c>
      <c r="F222" s="4">
        <f t="shared" si="9"/>
        <v>12.75</v>
      </c>
      <c r="G222" t="str">
        <f t="shared" si="10"/>
        <v>Saturday</v>
      </c>
      <c r="H222" t="str">
        <f t="shared" si="11"/>
        <v>March</v>
      </c>
    </row>
    <row r="223" spans="1:8" x14ac:dyDescent="0.35">
      <c r="A223" s="1">
        <v>46096</v>
      </c>
      <c r="B223" t="s">
        <v>13</v>
      </c>
      <c r="C223" t="s">
        <v>16</v>
      </c>
      <c r="D223">
        <v>2</v>
      </c>
      <c r="E223" s="4">
        <v>4.75</v>
      </c>
      <c r="F223" s="4">
        <f t="shared" si="9"/>
        <v>9.5</v>
      </c>
      <c r="G223" t="str">
        <f t="shared" si="10"/>
        <v>Sunday</v>
      </c>
      <c r="H223" t="str">
        <f t="shared" si="11"/>
        <v>March</v>
      </c>
    </row>
    <row r="224" spans="1:8" x14ac:dyDescent="0.35">
      <c r="A224" s="1">
        <v>46096</v>
      </c>
      <c r="B224" t="s">
        <v>6</v>
      </c>
      <c r="C224" t="s">
        <v>16</v>
      </c>
      <c r="D224">
        <v>3</v>
      </c>
      <c r="E224" s="4">
        <v>4.5</v>
      </c>
      <c r="F224" s="4">
        <f t="shared" si="9"/>
        <v>13.5</v>
      </c>
      <c r="G224" t="str">
        <f t="shared" si="10"/>
        <v>Sunday</v>
      </c>
      <c r="H224" t="str">
        <f t="shared" si="11"/>
        <v>March</v>
      </c>
    </row>
    <row r="225" spans="1:8" x14ac:dyDescent="0.35">
      <c r="A225" s="1">
        <v>46096</v>
      </c>
      <c r="B225" t="s">
        <v>12</v>
      </c>
      <c r="C225" t="s">
        <v>17</v>
      </c>
      <c r="D225">
        <v>5</v>
      </c>
      <c r="E225" s="4">
        <v>2.5</v>
      </c>
      <c r="F225" s="4">
        <f t="shared" si="9"/>
        <v>12.5</v>
      </c>
      <c r="G225" t="str">
        <f t="shared" si="10"/>
        <v>Sunday</v>
      </c>
      <c r="H225" t="str">
        <f t="shared" si="11"/>
        <v>March</v>
      </c>
    </row>
    <row r="226" spans="1:8" x14ac:dyDescent="0.35">
      <c r="A226" s="1">
        <v>46097</v>
      </c>
      <c r="B226" t="s">
        <v>15</v>
      </c>
      <c r="C226" t="s">
        <v>16</v>
      </c>
      <c r="D226">
        <v>3</v>
      </c>
      <c r="E226" s="4">
        <v>4.5</v>
      </c>
      <c r="F226" s="4">
        <f t="shared" si="9"/>
        <v>13.5</v>
      </c>
      <c r="G226" t="str">
        <f t="shared" si="10"/>
        <v>Monday</v>
      </c>
      <c r="H226" t="str">
        <f t="shared" si="11"/>
        <v>March</v>
      </c>
    </row>
    <row r="227" spans="1:8" x14ac:dyDescent="0.35">
      <c r="A227" s="1">
        <v>46097</v>
      </c>
      <c r="B227" t="s">
        <v>10</v>
      </c>
      <c r="C227" t="s">
        <v>17</v>
      </c>
      <c r="D227">
        <v>4</v>
      </c>
      <c r="E227" s="4">
        <v>3.25</v>
      </c>
      <c r="F227" s="4">
        <f t="shared" si="9"/>
        <v>13</v>
      </c>
      <c r="G227" t="str">
        <f t="shared" si="10"/>
        <v>Monday</v>
      </c>
      <c r="H227" t="str">
        <f t="shared" si="11"/>
        <v>March</v>
      </c>
    </row>
    <row r="228" spans="1:8" x14ac:dyDescent="0.35">
      <c r="A228" s="1">
        <v>46097</v>
      </c>
      <c r="B228" t="s">
        <v>14</v>
      </c>
      <c r="C228" t="s">
        <v>16</v>
      </c>
      <c r="D228">
        <v>1</v>
      </c>
      <c r="E228" s="4">
        <v>5.5</v>
      </c>
      <c r="F228" s="4">
        <f t="shared" si="9"/>
        <v>5.5</v>
      </c>
      <c r="G228" t="str">
        <f t="shared" si="10"/>
        <v>Monday</v>
      </c>
      <c r="H228" t="str">
        <f t="shared" si="11"/>
        <v>March</v>
      </c>
    </row>
    <row r="229" spans="1:8" x14ac:dyDescent="0.35">
      <c r="A229" s="1">
        <v>46098</v>
      </c>
      <c r="B229" t="s">
        <v>9</v>
      </c>
      <c r="C229" t="s">
        <v>17</v>
      </c>
      <c r="D229">
        <v>3</v>
      </c>
      <c r="E229" s="4">
        <v>3.75</v>
      </c>
      <c r="F229" s="4">
        <f t="shared" si="9"/>
        <v>11.25</v>
      </c>
      <c r="G229" t="str">
        <f t="shared" si="10"/>
        <v>Tuesday</v>
      </c>
      <c r="H229" t="str">
        <f t="shared" si="11"/>
        <v>March</v>
      </c>
    </row>
    <row r="230" spans="1:8" x14ac:dyDescent="0.35">
      <c r="A230" s="1">
        <v>46098</v>
      </c>
      <c r="B230" t="s">
        <v>11</v>
      </c>
      <c r="C230" t="s">
        <v>18</v>
      </c>
      <c r="D230">
        <v>5</v>
      </c>
      <c r="E230" s="4">
        <v>6.5</v>
      </c>
      <c r="F230" s="4">
        <f t="shared" si="9"/>
        <v>32.5</v>
      </c>
      <c r="G230" t="str">
        <f t="shared" si="10"/>
        <v>Tuesday</v>
      </c>
      <c r="H230" t="str">
        <f t="shared" si="11"/>
        <v>March</v>
      </c>
    </row>
    <row r="231" spans="1:8" x14ac:dyDescent="0.35">
      <c r="A231" s="1">
        <v>46098</v>
      </c>
      <c r="B231" t="s">
        <v>7</v>
      </c>
      <c r="C231" t="s">
        <v>16</v>
      </c>
      <c r="D231">
        <v>2</v>
      </c>
      <c r="E231" s="4">
        <v>3.5</v>
      </c>
      <c r="F231" s="4">
        <f t="shared" si="9"/>
        <v>7</v>
      </c>
      <c r="G231" t="str">
        <f t="shared" si="10"/>
        <v>Tuesday</v>
      </c>
      <c r="H231" t="str">
        <f t="shared" si="11"/>
        <v>March</v>
      </c>
    </row>
    <row r="232" spans="1:8" x14ac:dyDescent="0.35">
      <c r="A232" s="1">
        <v>46099</v>
      </c>
      <c r="B232" t="s">
        <v>8</v>
      </c>
      <c r="C232" t="s">
        <v>16</v>
      </c>
      <c r="D232">
        <v>1</v>
      </c>
      <c r="E232" s="4">
        <v>4.25</v>
      </c>
      <c r="F232" s="4">
        <f t="shared" si="9"/>
        <v>4.25</v>
      </c>
      <c r="G232" t="str">
        <f t="shared" si="10"/>
        <v>Wednesday</v>
      </c>
      <c r="H232" t="str">
        <f t="shared" si="11"/>
        <v>March</v>
      </c>
    </row>
    <row r="233" spans="1:8" x14ac:dyDescent="0.35">
      <c r="A233" s="1">
        <v>46099</v>
      </c>
      <c r="B233" t="s">
        <v>13</v>
      </c>
      <c r="C233" t="s">
        <v>16</v>
      </c>
      <c r="D233">
        <v>4</v>
      </c>
      <c r="E233" s="4">
        <v>4.75</v>
      </c>
      <c r="F233" s="4">
        <f t="shared" si="9"/>
        <v>19</v>
      </c>
      <c r="G233" t="str">
        <f t="shared" si="10"/>
        <v>Wednesday</v>
      </c>
      <c r="H233" t="str">
        <f t="shared" si="11"/>
        <v>March</v>
      </c>
    </row>
    <row r="234" spans="1:8" x14ac:dyDescent="0.35">
      <c r="A234" s="1">
        <v>46099</v>
      </c>
      <c r="B234" t="s">
        <v>6</v>
      </c>
      <c r="C234" t="s">
        <v>16</v>
      </c>
      <c r="D234">
        <v>2</v>
      </c>
      <c r="E234" s="4">
        <v>4.5</v>
      </c>
      <c r="F234" s="4">
        <f t="shared" si="9"/>
        <v>9</v>
      </c>
      <c r="G234" t="str">
        <f t="shared" si="10"/>
        <v>Wednesday</v>
      </c>
      <c r="H234" t="str">
        <f t="shared" si="11"/>
        <v>March</v>
      </c>
    </row>
    <row r="235" spans="1:8" x14ac:dyDescent="0.35">
      <c r="A235" s="1">
        <v>46100</v>
      </c>
      <c r="B235" t="s">
        <v>12</v>
      </c>
      <c r="C235" t="s">
        <v>17</v>
      </c>
      <c r="D235">
        <v>12</v>
      </c>
      <c r="E235" s="4">
        <v>2.5</v>
      </c>
      <c r="F235" s="4">
        <f t="shared" si="9"/>
        <v>30</v>
      </c>
      <c r="G235" t="str">
        <f t="shared" si="10"/>
        <v>Thursday</v>
      </c>
      <c r="H235" t="str">
        <f t="shared" si="11"/>
        <v>March</v>
      </c>
    </row>
    <row r="236" spans="1:8" x14ac:dyDescent="0.35">
      <c r="A236" s="1">
        <v>46100</v>
      </c>
      <c r="B236" t="s">
        <v>15</v>
      </c>
      <c r="C236" t="s">
        <v>16</v>
      </c>
      <c r="D236">
        <v>1</v>
      </c>
      <c r="E236" s="4">
        <v>4.5</v>
      </c>
      <c r="F236" s="4">
        <f t="shared" si="9"/>
        <v>4.5</v>
      </c>
      <c r="G236" t="str">
        <f t="shared" si="10"/>
        <v>Thursday</v>
      </c>
      <c r="H236" t="str">
        <f t="shared" si="11"/>
        <v>March</v>
      </c>
    </row>
    <row r="237" spans="1:8" x14ac:dyDescent="0.35">
      <c r="A237" s="1">
        <v>46100</v>
      </c>
      <c r="B237" t="s">
        <v>10</v>
      </c>
      <c r="C237" t="s">
        <v>17</v>
      </c>
      <c r="D237">
        <v>3</v>
      </c>
      <c r="E237" s="4">
        <v>3.25</v>
      </c>
      <c r="F237" s="4">
        <f t="shared" si="9"/>
        <v>9.75</v>
      </c>
      <c r="G237" t="str">
        <f t="shared" si="10"/>
        <v>Thursday</v>
      </c>
      <c r="H237" t="str">
        <f t="shared" si="11"/>
        <v>March</v>
      </c>
    </row>
    <row r="238" spans="1:8" x14ac:dyDescent="0.35">
      <c r="A238" s="1">
        <v>46101</v>
      </c>
      <c r="B238" t="s">
        <v>14</v>
      </c>
      <c r="C238" t="s">
        <v>16</v>
      </c>
      <c r="D238">
        <v>5</v>
      </c>
      <c r="E238" s="4">
        <v>5.5</v>
      </c>
      <c r="F238" s="4">
        <f t="shared" si="9"/>
        <v>27.5</v>
      </c>
      <c r="G238" t="str">
        <f t="shared" si="10"/>
        <v>Friday</v>
      </c>
      <c r="H238" t="str">
        <f t="shared" si="11"/>
        <v>March</v>
      </c>
    </row>
    <row r="239" spans="1:8" x14ac:dyDescent="0.35">
      <c r="A239" s="1">
        <v>46101</v>
      </c>
      <c r="B239" t="s">
        <v>9</v>
      </c>
      <c r="C239" t="s">
        <v>17</v>
      </c>
      <c r="D239">
        <v>2</v>
      </c>
      <c r="E239" s="4">
        <v>3.75</v>
      </c>
      <c r="F239" s="4">
        <f t="shared" si="9"/>
        <v>7.5</v>
      </c>
      <c r="G239" t="str">
        <f t="shared" si="10"/>
        <v>Friday</v>
      </c>
      <c r="H239" t="str">
        <f t="shared" si="11"/>
        <v>March</v>
      </c>
    </row>
    <row r="240" spans="1:8" x14ac:dyDescent="0.35">
      <c r="A240" s="1">
        <v>46101</v>
      </c>
      <c r="B240" t="s">
        <v>11</v>
      </c>
      <c r="C240" t="s">
        <v>18</v>
      </c>
      <c r="D240">
        <v>3</v>
      </c>
      <c r="E240" s="4">
        <v>6.5</v>
      </c>
      <c r="F240" s="4">
        <f t="shared" si="9"/>
        <v>19.5</v>
      </c>
      <c r="G240" t="str">
        <f t="shared" si="10"/>
        <v>Friday</v>
      </c>
      <c r="H240" t="str">
        <f t="shared" si="11"/>
        <v>March</v>
      </c>
    </row>
    <row r="241" spans="1:8" x14ac:dyDescent="0.35">
      <c r="A241" s="1">
        <v>46102</v>
      </c>
      <c r="B241" t="s">
        <v>7</v>
      </c>
      <c r="C241" t="s">
        <v>16</v>
      </c>
      <c r="D241">
        <v>4</v>
      </c>
      <c r="E241" s="4">
        <v>3.5</v>
      </c>
      <c r="F241" s="4">
        <f t="shared" si="9"/>
        <v>14</v>
      </c>
      <c r="G241" t="str">
        <f t="shared" si="10"/>
        <v>Saturday</v>
      </c>
      <c r="H241" t="str">
        <f t="shared" si="11"/>
        <v>March</v>
      </c>
    </row>
    <row r="242" spans="1:8" x14ac:dyDescent="0.35">
      <c r="A242" s="1">
        <v>46102</v>
      </c>
      <c r="B242" t="s">
        <v>8</v>
      </c>
      <c r="C242" t="s">
        <v>16</v>
      </c>
      <c r="D242">
        <v>5</v>
      </c>
      <c r="E242" s="4">
        <v>4.25</v>
      </c>
      <c r="F242" s="4">
        <f t="shared" si="9"/>
        <v>21.25</v>
      </c>
      <c r="G242" t="str">
        <f t="shared" si="10"/>
        <v>Saturday</v>
      </c>
      <c r="H242" t="str">
        <f t="shared" si="11"/>
        <v>March</v>
      </c>
    </row>
    <row r="243" spans="1:8" x14ac:dyDescent="0.35">
      <c r="A243" s="1">
        <v>46102</v>
      </c>
      <c r="B243" t="s">
        <v>13</v>
      </c>
      <c r="C243" t="s">
        <v>16</v>
      </c>
      <c r="D243">
        <v>3</v>
      </c>
      <c r="E243" s="4">
        <v>4.75</v>
      </c>
      <c r="F243" s="4">
        <f t="shared" si="9"/>
        <v>14.25</v>
      </c>
      <c r="G243" t="str">
        <f t="shared" si="10"/>
        <v>Saturday</v>
      </c>
      <c r="H243" t="str">
        <f t="shared" si="11"/>
        <v>March</v>
      </c>
    </row>
    <row r="244" spans="1:8" x14ac:dyDescent="0.35">
      <c r="A244" s="1">
        <v>46103</v>
      </c>
      <c r="B244" t="s">
        <v>6</v>
      </c>
      <c r="C244" t="s">
        <v>16</v>
      </c>
      <c r="D244">
        <v>1</v>
      </c>
      <c r="E244" s="4">
        <v>4.5</v>
      </c>
      <c r="F244" s="4">
        <f t="shared" si="9"/>
        <v>4.5</v>
      </c>
      <c r="G244" t="str">
        <f t="shared" si="10"/>
        <v>Sunday</v>
      </c>
      <c r="H244" t="str">
        <f t="shared" si="11"/>
        <v>March</v>
      </c>
    </row>
    <row r="245" spans="1:8" x14ac:dyDescent="0.35">
      <c r="A245" s="1">
        <v>46103</v>
      </c>
      <c r="B245" t="s">
        <v>12</v>
      </c>
      <c r="C245" t="s">
        <v>17</v>
      </c>
      <c r="D245">
        <v>7</v>
      </c>
      <c r="E245" s="4">
        <v>2.5</v>
      </c>
      <c r="F245" s="4">
        <f t="shared" si="9"/>
        <v>17.5</v>
      </c>
      <c r="G245" t="str">
        <f t="shared" si="10"/>
        <v>Sunday</v>
      </c>
      <c r="H245" t="str">
        <f t="shared" si="11"/>
        <v>March</v>
      </c>
    </row>
    <row r="246" spans="1:8" x14ac:dyDescent="0.35">
      <c r="A246" s="1">
        <v>46103</v>
      </c>
      <c r="B246" t="s">
        <v>15</v>
      </c>
      <c r="C246" t="s">
        <v>16</v>
      </c>
      <c r="D246">
        <v>5</v>
      </c>
      <c r="E246" s="4">
        <v>4.5</v>
      </c>
      <c r="F246" s="4">
        <f t="shared" si="9"/>
        <v>22.5</v>
      </c>
      <c r="G246" t="str">
        <f t="shared" si="10"/>
        <v>Sunday</v>
      </c>
      <c r="H246" t="str">
        <f t="shared" si="11"/>
        <v>March</v>
      </c>
    </row>
    <row r="247" spans="1:8" x14ac:dyDescent="0.35">
      <c r="A247" s="1">
        <v>46104</v>
      </c>
      <c r="B247" t="s">
        <v>10</v>
      </c>
      <c r="C247" t="s">
        <v>17</v>
      </c>
      <c r="D247">
        <v>2</v>
      </c>
      <c r="E247" s="4">
        <v>3.25</v>
      </c>
      <c r="F247" s="4">
        <f t="shared" si="9"/>
        <v>6.5</v>
      </c>
      <c r="G247" t="str">
        <f t="shared" si="10"/>
        <v>Monday</v>
      </c>
      <c r="H247" t="str">
        <f t="shared" si="11"/>
        <v>March</v>
      </c>
    </row>
    <row r="248" spans="1:8" x14ac:dyDescent="0.35">
      <c r="A248" s="1">
        <v>46104</v>
      </c>
      <c r="B248" t="s">
        <v>14</v>
      </c>
      <c r="C248" t="s">
        <v>16</v>
      </c>
      <c r="D248">
        <v>2</v>
      </c>
      <c r="E248" s="4">
        <v>5.5</v>
      </c>
      <c r="F248" s="4">
        <f t="shared" si="9"/>
        <v>11</v>
      </c>
      <c r="G248" t="str">
        <f t="shared" si="10"/>
        <v>Monday</v>
      </c>
      <c r="H248" t="str">
        <f t="shared" si="11"/>
        <v>March</v>
      </c>
    </row>
    <row r="249" spans="1:8" x14ac:dyDescent="0.35">
      <c r="A249" s="1">
        <v>46104</v>
      </c>
      <c r="B249" t="s">
        <v>9</v>
      </c>
      <c r="C249" t="s">
        <v>17</v>
      </c>
      <c r="D249">
        <v>4</v>
      </c>
      <c r="E249" s="4">
        <v>3.75</v>
      </c>
      <c r="F249" s="4">
        <f t="shared" si="9"/>
        <v>15</v>
      </c>
      <c r="G249" t="str">
        <f t="shared" si="10"/>
        <v>Monday</v>
      </c>
      <c r="H249" t="str">
        <f t="shared" si="11"/>
        <v>March</v>
      </c>
    </row>
    <row r="250" spans="1:8" x14ac:dyDescent="0.35">
      <c r="A250" s="1">
        <v>46105</v>
      </c>
      <c r="B250" t="s">
        <v>11</v>
      </c>
      <c r="C250" t="s">
        <v>18</v>
      </c>
      <c r="D250">
        <v>1</v>
      </c>
      <c r="E250" s="4">
        <v>6.5</v>
      </c>
      <c r="F250" s="4">
        <f t="shared" si="9"/>
        <v>6.5</v>
      </c>
      <c r="G250" t="str">
        <f t="shared" si="10"/>
        <v>Tuesday</v>
      </c>
      <c r="H250" t="str">
        <f t="shared" si="11"/>
        <v>March</v>
      </c>
    </row>
    <row r="251" spans="1:8" x14ac:dyDescent="0.35">
      <c r="A251" s="1">
        <v>46105</v>
      </c>
      <c r="B251" t="s">
        <v>7</v>
      </c>
      <c r="C251" t="s">
        <v>16</v>
      </c>
      <c r="D251">
        <v>3</v>
      </c>
      <c r="E251" s="4">
        <v>3.5</v>
      </c>
      <c r="F251" s="4">
        <f t="shared" si="9"/>
        <v>10.5</v>
      </c>
      <c r="G251" t="str">
        <f t="shared" si="10"/>
        <v>Tuesday</v>
      </c>
      <c r="H251" t="str">
        <f t="shared" si="11"/>
        <v>March</v>
      </c>
    </row>
    <row r="252" spans="1:8" x14ac:dyDescent="0.35">
      <c r="A252" s="1">
        <v>46105</v>
      </c>
      <c r="B252" t="s">
        <v>8</v>
      </c>
      <c r="C252" t="s">
        <v>16</v>
      </c>
      <c r="D252">
        <v>2</v>
      </c>
      <c r="E252" s="4">
        <v>4.25</v>
      </c>
      <c r="F252" s="4">
        <f t="shared" si="9"/>
        <v>8.5</v>
      </c>
      <c r="G252" t="str">
        <f t="shared" si="10"/>
        <v>Tuesday</v>
      </c>
      <c r="H252" t="str">
        <f t="shared" si="11"/>
        <v>March</v>
      </c>
    </row>
    <row r="253" spans="1:8" x14ac:dyDescent="0.35">
      <c r="A253" s="1">
        <v>46106</v>
      </c>
      <c r="B253" t="s">
        <v>13</v>
      </c>
      <c r="C253" t="s">
        <v>16</v>
      </c>
      <c r="D253">
        <v>5</v>
      </c>
      <c r="E253" s="4">
        <v>4.75</v>
      </c>
      <c r="F253" s="4">
        <f t="shared" si="9"/>
        <v>23.75</v>
      </c>
      <c r="G253" t="str">
        <f t="shared" si="10"/>
        <v>Wednesday</v>
      </c>
      <c r="H253" t="str">
        <f t="shared" si="11"/>
        <v>March</v>
      </c>
    </row>
    <row r="254" spans="1:8" x14ac:dyDescent="0.35">
      <c r="A254" s="1">
        <v>46106</v>
      </c>
      <c r="B254" t="s">
        <v>6</v>
      </c>
      <c r="C254" t="s">
        <v>16</v>
      </c>
      <c r="D254">
        <v>4</v>
      </c>
      <c r="E254" s="4">
        <v>4.5</v>
      </c>
      <c r="F254" s="4">
        <f t="shared" si="9"/>
        <v>18</v>
      </c>
      <c r="G254" t="str">
        <f t="shared" si="10"/>
        <v>Wednesday</v>
      </c>
      <c r="H254" t="str">
        <f t="shared" si="11"/>
        <v>March</v>
      </c>
    </row>
    <row r="255" spans="1:8" x14ac:dyDescent="0.35">
      <c r="A255" s="1">
        <v>46106</v>
      </c>
      <c r="B255" t="s">
        <v>12</v>
      </c>
      <c r="C255" t="s">
        <v>17</v>
      </c>
      <c r="D255">
        <v>9</v>
      </c>
      <c r="E255" s="4">
        <v>2.5</v>
      </c>
      <c r="F255" s="4">
        <f t="shared" si="9"/>
        <v>22.5</v>
      </c>
      <c r="G255" t="str">
        <f t="shared" si="10"/>
        <v>Wednesday</v>
      </c>
      <c r="H255" t="str">
        <f t="shared" si="11"/>
        <v>March</v>
      </c>
    </row>
    <row r="256" spans="1:8" x14ac:dyDescent="0.35">
      <c r="A256" s="1">
        <v>46107</v>
      </c>
      <c r="B256" t="s">
        <v>15</v>
      </c>
      <c r="C256" t="s">
        <v>16</v>
      </c>
      <c r="D256">
        <v>2</v>
      </c>
      <c r="E256" s="4">
        <v>4.5</v>
      </c>
      <c r="F256" s="4">
        <f t="shared" si="9"/>
        <v>9</v>
      </c>
      <c r="G256" t="str">
        <f t="shared" si="10"/>
        <v>Thursday</v>
      </c>
      <c r="H256" t="str">
        <f t="shared" si="11"/>
        <v>March</v>
      </c>
    </row>
    <row r="257" spans="1:8" x14ac:dyDescent="0.35">
      <c r="A257" s="1">
        <v>46107</v>
      </c>
      <c r="B257" t="s">
        <v>10</v>
      </c>
      <c r="C257" t="s">
        <v>17</v>
      </c>
      <c r="D257">
        <v>4</v>
      </c>
      <c r="E257" s="4">
        <v>3.25</v>
      </c>
      <c r="F257" s="4">
        <f t="shared" si="9"/>
        <v>13</v>
      </c>
      <c r="G257" t="str">
        <f t="shared" si="10"/>
        <v>Thursday</v>
      </c>
      <c r="H257" t="str">
        <f t="shared" si="11"/>
        <v>March</v>
      </c>
    </row>
    <row r="258" spans="1:8" x14ac:dyDescent="0.35">
      <c r="A258" s="1">
        <v>46107</v>
      </c>
      <c r="B258" t="s">
        <v>14</v>
      </c>
      <c r="C258" t="s">
        <v>16</v>
      </c>
      <c r="D258">
        <v>3</v>
      </c>
      <c r="E258" s="4">
        <v>5.5</v>
      </c>
      <c r="F258" s="4">
        <f t="shared" si="9"/>
        <v>16.5</v>
      </c>
      <c r="G258" t="str">
        <f t="shared" si="10"/>
        <v>Thursday</v>
      </c>
      <c r="H258" t="str">
        <f t="shared" si="11"/>
        <v>March</v>
      </c>
    </row>
    <row r="259" spans="1:8" x14ac:dyDescent="0.35">
      <c r="A259" s="1">
        <v>46108</v>
      </c>
      <c r="B259" t="s">
        <v>9</v>
      </c>
      <c r="C259" t="s">
        <v>17</v>
      </c>
      <c r="D259">
        <v>1</v>
      </c>
      <c r="E259" s="4">
        <v>3.75</v>
      </c>
      <c r="F259" s="4">
        <f t="shared" si="9"/>
        <v>3.75</v>
      </c>
      <c r="G259" t="str">
        <f t="shared" si="10"/>
        <v>Friday</v>
      </c>
      <c r="H259" t="str">
        <f t="shared" si="11"/>
        <v>March</v>
      </c>
    </row>
    <row r="260" spans="1:8" x14ac:dyDescent="0.35">
      <c r="A260" s="1">
        <v>46108</v>
      </c>
      <c r="B260" t="s">
        <v>11</v>
      </c>
      <c r="C260" t="s">
        <v>18</v>
      </c>
      <c r="D260">
        <v>4</v>
      </c>
      <c r="E260" s="4">
        <v>6.5</v>
      </c>
      <c r="F260" s="4">
        <f t="shared" si="9"/>
        <v>26</v>
      </c>
      <c r="G260" t="str">
        <f t="shared" si="10"/>
        <v>Friday</v>
      </c>
      <c r="H260" t="str">
        <f t="shared" si="11"/>
        <v>March</v>
      </c>
    </row>
    <row r="261" spans="1:8" x14ac:dyDescent="0.35">
      <c r="A261" s="1">
        <v>46108</v>
      </c>
      <c r="B261" t="s">
        <v>7</v>
      </c>
      <c r="C261" t="s">
        <v>16</v>
      </c>
      <c r="D261">
        <v>6</v>
      </c>
      <c r="E261" s="4">
        <v>3.5</v>
      </c>
      <c r="F261" s="4">
        <f t="shared" ref="F261:F324" si="12">D261*E261</f>
        <v>21</v>
      </c>
      <c r="G261" t="str">
        <f t="shared" ref="G261:G324" si="13">TEXT(A261,"dddd")</f>
        <v>Friday</v>
      </c>
      <c r="H261" t="str">
        <f t="shared" ref="H261:H324" si="14">TEXT(A261,"mmmm")</f>
        <v>March</v>
      </c>
    </row>
    <row r="262" spans="1:8" x14ac:dyDescent="0.35">
      <c r="A262" s="1">
        <v>46109</v>
      </c>
      <c r="B262" t="s">
        <v>8</v>
      </c>
      <c r="C262" t="s">
        <v>16</v>
      </c>
      <c r="D262">
        <v>3</v>
      </c>
      <c r="E262" s="4">
        <v>4.25</v>
      </c>
      <c r="F262" s="4">
        <f t="shared" si="12"/>
        <v>12.75</v>
      </c>
      <c r="G262" t="str">
        <f t="shared" si="13"/>
        <v>Saturday</v>
      </c>
      <c r="H262" t="str">
        <f t="shared" si="14"/>
        <v>March</v>
      </c>
    </row>
    <row r="263" spans="1:8" x14ac:dyDescent="0.35">
      <c r="A263" s="1">
        <v>46109</v>
      </c>
      <c r="B263" t="s">
        <v>13</v>
      </c>
      <c r="C263" t="s">
        <v>16</v>
      </c>
      <c r="D263">
        <v>2</v>
      </c>
      <c r="E263" s="4">
        <v>4.75</v>
      </c>
      <c r="F263" s="4">
        <f t="shared" si="12"/>
        <v>9.5</v>
      </c>
      <c r="G263" t="str">
        <f t="shared" si="13"/>
        <v>Saturday</v>
      </c>
      <c r="H263" t="str">
        <f t="shared" si="14"/>
        <v>March</v>
      </c>
    </row>
    <row r="264" spans="1:8" x14ac:dyDescent="0.35">
      <c r="A264" s="1">
        <v>46109</v>
      </c>
      <c r="B264" t="s">
        <v>6</v>
      </c>
      <c r="C264" t="s">
        <v>16</v>
      </c>
      <c r="D264">
        <v>3</v>
      </c>
      <c r="E264" s="4">
        <v>4.5</v>
      </c>
      <c r="F264" s="4">
        <f t="shared" si="12"/>
        <v>13.5</v>
      </c>
      <c r="G264" t="str">
        <f t="shared" si="13"/>
        <v>Saturday</v>
      </c>
      <c r="H264" t="str">
        <f t="shared" si="14"/>
        <v>March</v>
      </c>
    </row>
    <row r="265" spans="1:8" x14ac:dyDescent="0.35">
      <c r="A265" s="1">
        <v>46110</v>
      </c>
      <c r="B265" t="s">
        <v>12</v>
      </c>
      <c r="C265" t="s">
        <v>17</v>
      </c>
      <c r="D265">
        <v>6</v>
      </c>
      <c r="E265" s="4">
        <v>2.5</v>
      </c>
      <c r="F265" s="4">
        <f t="shared" si="12"/>
        <v>15</v>
      </c>
      <c r="G265" t="str">
        <f t="shared" si="13"/>
        <v>Sunday</v>
      </c>
      <c r="H265" t="str">
        <f t="shared" si="14"/>
        <v>March</v>
      </c>
    </row>
    <row r="266" spans="1:8" x14ac:dyDescent="0.35">
      <c r="A266" s="1">
        <v>46110</v>
      </c>
      <c r="B266" t="s">
        <v>15</v>
      </c>
      <c r="C266" t="s">
        <v>16</v>
      </c>
      <c r="D266">
        <v>4</v>
      </c>
      <c r="E266" s="4">
        <v>4.5</v>
      </c>
      <c r="F266" s="4">
        <f t="shared" si="12"/>
        <v>18</v>
      </c>
      <c r="G266" t="str">
        <f t="shared" si="13"/>
        <v>Sunday</v>
      </c>
      <c r="H266" t="str">
        <f t="shared" si="14"/>
        <v>March</v>
      </c>
    </row>
    <row r="267" spans="1:8" x14ac:dyDescent="0.35">
      <c r="A267" s="1">
        <v>46110</v>
      </c>
      <c r="B267" t="s">
        <v>10</v>
      </c>
      <c r="C267" t="s">
        <v>17</v>
      </c>
      <c r="D267">
        <v>1</v>
      </c>
      <c r="E267" s="4">
        <v>3.25</v>
      </c>
      <c r="F267" s="4">
        <f t="shared" si="12"/>
        <v>3.25</v>
      </c>
      <c r="G267" t="str">
        <f t="shared" si="13"/>
        <v>Sunday</v>
      </c>
      <c r="H267" t="str">
        <f t="shared" si="14"/>
        <v>March</v>
      </c>
    </row>
    <row r="268" spans="1:8" x14ac:dyDescent="0.35">
      <c r="A268" s="1">
        <v>46111</v>
      </c>
      <c r="B268" t="s">
        <v>14</v>
      </c>
      <c r="C268" t="s">
        <v>16</v>
      </c>
      <c r="D268">
        <v>4</v>
      </c>
      <c r="E268" s="4">
        <v>5.5</v>
      </c>
      <c r="F268" s="4">
        <f t="shared" si="12"/>
        <v>22</v>
      </c>
      <c r="G268" t="str">
        <f t="shared" si="13"/>
        <v>Monday</v>
      </c>
      <c r="H268" t="str">
        <f t="shared" si="14"/>
        <v>March</v>
      </c>
    </row>
    <row r="269" spans="1:8" x14ac:dyDescent="0.35">
      <c r="A269" s="1">
        <v>46111</v>
      </c>
      <c r="B269" t="s">
        <v>9</v>
      </c>
      <c r="C269" t="s">
        <v>17</v>
      </c>
      <c r="D269">
        <v>3</v>
      </c>
      <c r="E269" s="4">
        <v>3.75</v>
      </c>
      <c r="F269" s="4">
        <f t="shared" si="12"/>
        <v>11.25</v>
      </c>
      <c r="G269" t="str">
        <f t="shared" si="13"/>
        <v>Monday</v>
      </c>
      <c r="H269" t="str">
        <f t="shared" si="14"/>
        <v>March</v>
      </c>
    </row>
    <row r="270" spans="1:8" x14ac:dyDescent="0.35">
      <c r="A270" s="1">
        <v>46111</v>
      </c>
      <c r="B270" t="s">
        <v>11</v>
      </c>
      <c r="C270" t="s">
        <v>18</v>
      </c>
      <c r="D270">
        <v>2</v>
      </c>
      <c r="E270" s="4">
        <v>6.5</v>
      </c>
      <c r="F270" s="4">
        <f t="shared" si="12"/>
        <v>13</v>
      </c>
      <c r="G270" t="str">
        <f t="shared" si="13"/>
        <v>Monday</v>
      </c>
      <c r="H270" t="str">
        <f t="shared" si="14"/>
        <v>March</v>
      </c>
    </row>
    <row r="271" spans="1:8" x14ac:dyDescent="0.35">
      <c r="A271" s="1">
        <v>46112</v>
      </c>
      <c r="B271" t="s">
        <v>7</v>
      </c>
      <c r="C271" t="s">
        <v>16</v>
      </c>
      <c r="D271">
        <v>1</v>
      </c>
      <c r="E271" s="4">
        <v>3.5</v>
      </c>
      <c r="F271" s="4">
        <f t="shared" si="12"/>
        <v>3.5</v>
      </c>
      <c r="G271" t="str">
        <f t="shared" si="13"/>
        <v>Tuesday</v>
      </c>
      <c r="H271" t="str">
        <f t="shared" si="14"/>
        <v>March</v>
      </c>
    </row>
    <row r="272" spans="1:8" x14ac:dyDescent="0.35">
      <c r="A272" s="1">
        <v>46112</v>
      </c>
      <c r="B272" t="s">
        <v>8</v>
      </c>
      <c r="C272" t="s">
        <v>16</v>
      </c>
      <c r="D272">
        <v>4</v>
      </c>
      <c r="E272" s="4">
        <v>4.25</v>
      </c>
      <c r="F272" s="4">
        <f t="shared" si="12"/>
        <v>17</v>
      </c>
      <c r="G272" t="str">
        <f t="shared" si="13"/>
        <v>Tuesday</v>
      </c>
      <c r="H272" t="str">
        <f t="shared" si="14"/>
        <v>March</v>
      </c>
    </row>
    <row r="273" spans="1:8" x14ac:dyDescent="0.35">
      <c r="A273" s="1">
        <v>46112</v>
      </c>
      <c r="B273" t="s">
        <v>13</v>
      </c>
      <c r="C273" t="s">
        <v>16</v>
      </c>
      <c r="D273">
        <v>3</v>
      </c>
      <c r="E273" s="4">
        <v>4.75</v>
      </c>
      <c r="F273" s="4">
        <f t="shared" si="12"/>
        <v>14.25</v>
      </c>
      <c r="G273" t="str">
        <f t="shared" si="13"/>
        <v>Tuesday</v>
      </c>
      <c r="H273" t="str">
        <f t="shared" si="14"/>
        <v>March</v>
      </c>
    </row>
    <row r="274" spans="1:8" x14ac:dyDescent="0.35">
      <c r="A274" s="1">
        <v>46113</v>
      </c>
      <c r="B274" t="s">
        <v>6</v>
      </c>
      <c r="C274" t="s">
        <v>16</v>
      </c>
      <c r="D274">
        <v>2</v>
      </c>
      <c r="E274" s="4">
        <v>4.5</v>
      </c>
      <c r="F274" s="4">
        <f t="shared" si="12"/>
        <v>9</v>
      </c>
      <c r="G274" t="str">
        <f t="shared" si="13"/>
        <v>Wednesday</v>
      </c>
      <c r="H274" t="str">
        <f t="shared" si="14"/>
        <v>April</v>
      </c>
    </row>
    <row r="275" spans="1:8" x14ac:dyDescent="0.35">
      <c r="A275" s="1">
        <v>46113</v>
      </c>
      <c r="B275" t="s">
        <v>12</v>
      </c>
      <c r="C275" t="s">
        <v>17</v>
      </c>
      <c r="D275">
        <v>5</v>
      </c>
      <c r="E275" s="4">
        <v>2.5</v>
      </c>
      <c r="F275" s="4">
        <f t="shared" si="12"/>
        <v>12.5</v>
      </c>
      <c r="G275" t="str">
        <f t="shared" si="13"/>
        <v>Wednesday</v>
      </c>
      <c r="H275" t="str">
        <f t="shared" si="14"/>
        <v>April</v>
      </c>
    </row>
    <row r="276" spans="1:8" x14ac:dyDescent="0.35">
      <c r="A276" s="1">
        <v>46113</v>
      </c>
      <c r="B276" t="s">
        <v>15</v>
      </c>
      <c r="C276" t="s">
        <v>16</v>
      </c>
      <c r="D276">
        <v>4</v>
      </c>
      <c r="E276" s="4">
        <v>4.5</v>
      </c>
      <c r="F276" s="4">
        <f t="shared" si="12"/>
        <v>18</v>
      </c>
      <c r="G276" t="str">
        <f t="shared" si="13"/>
        <v>Wednesday</v>
      </c>
      <c r="H276" t="str">
        <f t="shared" si="14"/>
        <v>April</v>
      </c>
    </row>
    <row r="277" spans="1:8" x14ac:dyDescent="0.35">
      <c r="A277" s="1">
        <v>46114</v>
      </c>
      <c r="B277" t="s">
        <v>10</v>
      </c>
      <c r="C277" t="s">
        <v>17</v>
      </c>
      <c r="D277">
        <v>2</v>
      </c>
      <c r="E277" s="4">
        <v>3.25</v>
      </c>
      <c r="F277" s="4">
        <f t="shared" si="12"/>
        <v>6.5</v>
      </c>
      <c r="G277" t="str">
        <f t="shared" si="13"/>
        <v>Thursday</v>
      </c>
      <c r="H277" t="str">
        <f t="shared" si="14"/>
        <v>April</v>
      </c>
    </row>
    <row r="278" spans="1:8" x14ac:dyDescent="0.35">
      <c r="A278" s="1">
        <v>46114</v>
      </c>
      <c r="B278" t="s">
        <v>14</v>
      </c>
      <c r="C278" t="s">
        <v>16</v>
      </c>
      <c r="D278">
        <v>3</v>
      </c>
      <c r="E278" s="4">
        <v>5.5</v>
      </c>
      <c r="F278" s="4">
        <f t="shared" si="12"/>
        <v>16.5</v>
      </c>
      <c r="G278" t="str">
        <f t="shared" si="13"/>
        <v>Thursday</v>
      </c>
      <c r="H278" t="str">
        <f t="shared" si="14"/>
        <v>April</v>
      </c>
    </row>
    <row r="279" spans="1:8" x14ac:dyDescent="0.35">
      <c r="A279" s="1">
        <v>46114</v>
      </c>
      <c r="B279" t="s">
        <v>9</v>
      </c>
      <c r="C279" t="s">
        <v>17</v>
      </c>
      <c r="D279">
        <v>1</v>
      </c>
      <c r="E279" s="4">
        <v>3.75</v>
      </c>
      <c r="F279" s="4">
        <f t="shared" si="12"/>
        <v>3.75</v>
      </c>
      <c r="G279" t="str">
        <f t="shared" si="13"/>
        <v>Thursday</v>
      </c>
      <c r="H279" t="str">
        <f t="shared" si="14"/>
        <v>April</v>
      </c>
    </row>
    <row r="280" spans="1:8" x14ac:dyDescent="0.35">
      <c r="A280" s="1">
        <v>46115</v>
      </c>
      <c r="B280" t="s">
        <v>11</v>
      </c>
      <c r="C280" t="s">
        <v>18</v>
      </c>
      <c r="D280">
        <v>4</v>
      </c>
      <c r="E280" s="4">
        <v>6.5</v>
      </c>
      <c r="F280" s="4">
        <f t="shared" si="12"/>
        <v>26</v>
      </c>
      <c r="G280" t="str">
        <f t="shared" si="13"/>
        <v>Friday</v>
      </c>
      <c r="H280" t="str">
        <f t="shared" si="14"/>
        <v>April</v>
      </c>
    </row>
    <row r="281" spans="1:8" x14ac:dyDescent="0.35">
      <c r="A281" s="1">
        <v>46115</v>
      </c>
      <c r="B281" t="s">
        <v>7</v>
      </c>
      <c r="C281" t="s">
        <v>16</v>
      </c>
      <c r="D281">
        <v>5</v>
      </c>
      <c r="E281" s="4">
        <v>3.5</v>
      </c>
      <c r="F281" s="4">
        <f t="shared" si="12"/>
        <v>17.5</v>
      </c>
      <c r="G281" t="str">
        <f t="shared" si="13"/>
        <v>Friday</v>
      </c>
      <c r="H281" t="str">
        <f t="shared" si="14"/>
        <v>April</v>
      </c>
    </row>
    <row r="282" spans="1:8" x14ac:dyDescent="0.35">
      <c r="A282" s="1">
        <v>46115</v>
      </c>
      <c r="B282" t="s">
        <v>8</v>
      </c>
      <c r="C282" t="s">
        <v>16</v>
      </c>
      <c r="D282">
        <v>2</v>
      </c>
      <c r="E282" s="4">
        <v>4.25</v>
      </c>
      <c r="F282" s="4">
        <f t="shared" si="12"/>
        <v>8.5</v>
      </c>
      <c r="G282" t="str">
        <f t="shared" si="13"/>
        <v>Friday</v>
      </c>
      <c r="H282" t="str">
        <f t="shared" si="14"/>
        <v>April</v>
      </c>
    </row>
    <row r="283" spans="1:8" x14ac:dyDescent="0.35">
      <c r="A283" s="1">
        <v>46116</v>
      </c>
      <c r="B283" t="s">
        <v>13</v>
      </c>
      <c r="C283" t="s">
        <v>16</v>
      </c>
      <c r="D283">
        <v>3</v>
      </c>
      <c r="E283" s="4">
        <v>4.75</v>
      </c>
      <c r="F283" s="4">
        <f t="shared" si="12"/>
        <v>14.25</v>
      </c>
      <c r="G283" t="str">
        <f t="shared" si="13"/>
        <v>Saturday</v>
      </c>
      <c r="H283" t="str">
        <f t="shared" si="14"/>
        <v>April</v>
      </c>
    </row>
    <row r="284" spans="1:8" x14ac:dyDescent="0.35">
      <c r="A284" s="1">
        <v>46116</v>
      </c>
      <c r="B284" t="s">
        <v>6</v>
      </c>
      <c r="C284" t="s">
        <v>16</v>
      </c>
      <c r="D284">
        <v>1</v>
      </c>
      <c r="E284" s="4">
        <v>4.5</v>
      </c>
      <c r="F284" s="4">
        <f t="shared" si="12"/>
        <v>4.5</v>
      </c>
      <c r="G284" t="str">
        <f t="shared" si="13"/>
        <v>Saturday</v>
      </c>
      <c r="H284" t="str">
        <f t="shared" si="14"/>
        <v>April</v>
      </c>
    </row>
    <row r="285" spans="1:8" x14ac:dyDescent="0.35">
      <c r="A285" s="1">
        <v>46116</v>
      </c>
      <c r="B285" t="s">
        <v>12</v>
      </c>
      <c r="C285" t="s">
        <v>17</v>
      </c>
      <c r="D285">
        <v>11</v>
      </c>
      <c r="E285" s="4">
        <v>2.5</v>
      </c>
      <c r="F285" s="4">
        <f t="shared" si="12"/>
        <v>27.5</v>
      </c>
      <c r="G285" t="str">
        <f t="shared" si="13"/>
        <v>Saturday</v>
      </c>
      <c r="H285" t="str">
        <f t="shared" si="14"/>
        <v>April</v>
      </c>
    </row>
    <row r="286" spans="1:8" x14ac:dyDescent="0.35">
      <c r="A286" s="1">
        <v>46117</v>
      </c>
      <c r="B286" t="s">
        <v>15</v>
      </c>
      <c r="C286" t="s">
        <v>16</v>
      </c>
      <c r="D286">
        <v>3</v>
      </c>
      <c r="E286" s="4">
        <v>4.5</v>
      </c>
      <c r="F286" s="4">
        <f t="shared" si="12"/>
        <v>13.5</v>
      </c>
      <c r="G286" t="str">
        <f t="shared" si="13"/>
        <v>Sunday</v>
      </c>
      <c r="H286" t="str">
        <f t="shared" si="14"/>
        <v>April</v>
      </c>
    </row>
    <row r="287" spans="1:8" x14ac:dyDescent="0.35">
      <c r="A287" s="1">
        <v>46117</v>
      </c>
      <c r="B287" t="s">
        <v>10</v>
      </c>
      <c r="C287" t="s">
        <v>17</v>
      </c>
      <c r="D287">
        <v>5</v>
      </c>
      <c r="E287" s="4">
        <v>3.25</v>
      </c>
      <c r="F287" s="4">
        <f t="shared" si="12"/>
        <v>16.25</v>
      </c>
      <c r="G287" t="str">
        <f t="shared" si="13"/>
        <v>Sunday</v>
      </c>
      <c r="H287" t="str">
        <f t="shared" si="14"/>
        <v>April</v>
      </c>
    </row>
    <row r="288" spans="1:8" x14ac:dyDescent="0.35">
      <c r="A288" s="1">
        <v>46117</v>
      </c>
      <c r="B288" t="s">
        <v>14</v>
      </c>
      <c r="C288" t="s">
        <v>16</v>
      </c>
      <c r="D288">
        <v>4</v>
      </c>
      <c r="E288" s="4">
        <v>5.5</v>
      </c>
      <c r="F288" s="4">
        <f t="shared" si="12"/>
        <v>22</v>
      </c>
      <c r="G288" t="str">
        <f t="shared" si="13"/>
        <v>Sunday</v>
      </c>
      <c r="H288" t="str">
        <f t="shared" si="14"/>
        <v>April</v>
      </c>
    </row>
    <row r="289" spans="1:8" x14ac:dyDescent="0.35">
      <c r="A289" s="1">
        <v>46118</v>
      </c>
      <c r="B289" t="s">
        <v>9</v>
      </c>
      <c r="C289" t="s">
        <v>17</v>
      </c>
      <c r="D289">
        <v>2</v>
      </c>
      <c r="E289" s="4">
        <v>3.75</v>
      </c>
      <c r="F289" s="4">
        <f t="shared" si="12"/>
        <v>7.5</v>
      </c>
      <c r="G289" t="str">
        <f t="shared" si="13"/>
        <v>Monday</v>
      </c>
      <c r="H289" t="str">
        <f t="shared" si="14"/>
        <v>April</v>
      </c>
    </row>
    <row r="290" spans="1:8" x14ac:dyDescent="0.35">
      <c r="A290" s="1">
        <v>46118</v>
      </c>
      <c r="B290" t="s">
        <v>11</v>
      </c>
      <c r="C290" t="s">
        <v>18</v>
      </c>
      <c r="D290">
        <v>1</v>
      </c>
      <c r="E290" s="4">
        <v>6.5</v>
      </c>
      <c r="F290" s="4">
        <f t="shared" si="12"/>
        <v>6.5</v>
      </c>
      <c r="G290" t="str">
        <f t="shared" si="13"/>
        <v>Monday</v>
      </c>
      <c r="H290" t="str">
        <f t="shared" si="14"/>
        <v>April</v>
      </c>
    </row>
    <row r="291" spans="1:8" x14ac:dyDescent="0.35">
      <c r="A291" s="1">
        <v>46118</v>
      </c>
      <c r="B291" t="s">
        <v>7</v>
      </c>
      <c r="C291" t="s">
        <v>16</v>
      </c>
      <c r="D291">
        <v>4</v>
      </c>
      <c r="E291" s="4">
        <v>3.5</v>
      </c>
      <c r="F291" s="4">
        <f t="shared" si="12"/>
        <v>14</v>
      </c>
      <c r="G291" t="str">
        <f t="shared" si="13"/>
        <v>Monday</v>
      </c>
      <c r="H291" t="str">
        <f t="shared" si="14"/>
        <v>April</v>
      </c>
    </row>
    <row r="292" spans="1:8" x14ac:dyDescent="0.35">
      <c r="A292" s="1">
        <v>46119</v>
      </c>
      <c r="B292" t="s">
        <v>8</v>
      </c>
      <c r="C292" t="s">
        <v>16</v>
      </c>
      <c r="D292">
        <v>3</v>
      </c>
      <c r="E292" s="4">
        <v>4.25</v>
      </c>
      <c r="F292" s="4">
        <f t="shared" si="12"/>
        <v>12.75</v>
      </c>
      <c r="G292" t="str">
        <f t="shared" si="13"/>
        <v>Tuesday</v>
      </c>
      <c r="H292" t="str">
        <f t="shared" si="14"/>
        <v>April</v>
      </c>
    </row>
    <row r="293" spans="1:8" x14ac:dyDescent="0.35">
      <c r="A293" s="1">
        <v>46119</v>
      </c>
      <c r="B293" t="s">
        <v>13</v>
      </c>
      <c r="C293" t="s">
        <v>16</v>
      </c>
      <c r="D293">
        <v>5</v>
      </c>
      <c r="E293" s="4">
        <v>4.75</v>
      </c>
      <c r="F293" s="4">
        <f t="shared" si="12"/>
        <v>23.75</v>
      </c>
      <c r="G293" t="str">
        <f t="shared" si="13"/>
        <v>Tuesday</v>
      </c>
      <c r="H293" t="str">
        <f t="shared" si="14"/>
        <v>April</v>
      </c>
    </row>
    <row r="294" spans="1:8" x14ac:dyDescent="0.35">
      <c r="A294" s="1">
        <v>46119</v>
      </c>
      <c r="B294" t="s">
        <v>6</v>
      </c>
      <c r="C294" t="s">
        <v>16</v>
      </c>
      <c r="D294">
        <v>2</v>
      </c>
      <c r="E294" s="4">
        <v>4.5</v>
      </c>
      <c r="F294" s="4">
        <f t="shared" si="12"/>
        <v>9</v>
      </c>
      <c r="G294" t="str">
        <f t="shared" si="13"/>
        <v>Tuesday</v>
      </c>
      <c r="H294" t="str">
        <f t="shared" si="14"/>
        <v>April</v>
      </c>
    </row>
    <row r="295" spans="1:8" x14ac:dyDescent="0.35">
      <c r="A295" s="1">
        <v>46120</v>
      </c>
      <c r="B295" t="s">
        <v>12</v>
      </c>
      <c r="C295" t="s">
        <v>17</v>
      </c>
      <c r="D295">
        <v>7</v>
      </c>
      <c r="E295" s="4">
        <v>2.5</v>
      </c>
      <c r="F295" s="4">
        <f t="shared" si="12"/>
        <v>17.5</v>
      </c>
      <c r="G295" t="str">
        <f t="shared" si="13"/>
        <v>Wednesday</v>
      </c>
      <c r="H295" t="str">
        <f t="shared" si="14"/>
        <v>April</v>
      </c>
    </row>
    <row r="296" spans="1:8" x14ac:dyDescent="0.35">
      <c r="A296" s="1">
        <v>46120</v>
      </c>
      <c r="B296" t="s">
        <v>15</v>
      </c>
      <c r="C296" t="s">
        <v>16</v>
      </c>
      <c r="D296">
        <v>2</v>
      </c>
      <c r="E296" s="4">
        <v>4.5</v>
      </c>
      <c r="F296" s="4">
        <f t="shared" si="12"/>
        <v>9</v>
      </c>
      <c r="G296" t="str">
        <f t="shared" si="13"/>
        <v>Wednesday</v>
      </c>
      <c r="H296" t="str">
        <f t="shared" si="14"/>
        <v>April</v>
      </c>
    </row>
    <row r="297" spans="1:8" x14ac:dyDescent="0.35">
      <c r="A297" s="1">
        <v>46120</v>
      </c>
      <c r="B297" t="s">
        <v>10</v>
      </c>
      <c r="C297" t="s">
        <v>17</v>
      </c>
      <c r="D297">
        <v>4</v>
      </c>
      <c r="E297" s="4">
        <v>3.25</v>
      </c>
      <c r="F297" s="4">
        <f t="shared" si="12"/>
        <v>13</v>
      </c>
      <c r="G297" t="str">
        <f t="shared" si="13"/>
        <v>Wednesday</v>
      </c>
      <c r="H297" t="str">
        <f t="shared" si="14"/>
        <v>April</v>
      </c>
    </row>
    <row r="298" spans="1:8" x14ac:dyDescent="0.35">
      <c r="A298" s="1">
        <v>46121</v>
      </c>
      <c r="B298" t="s">
        <v>14</v>
      </c>
      <c r="C298" t="s">
        <v>16</v>
      </c>
      <c r="D298">
        <v>1</v>
      </c>
      <c r="E298" s="4">
        <v>5.5</v>
      </c>
      <c r="F298" s="4">
        <f t="shared" si="12"/>
        <v>5.5</v>
      </c>
      <c r="G298" t="str">
        <f t="shared" si="13"/>
        <v>Thursday</v>
      </c>
      <c r="H298" t="str">
        <f t="shared" si="14"/>
        <v>April</v>
      </c>
    </row>
    <row r="299" spans="1:8" x14ac:dyDescent="0.35">
      <c r="A299" s="1">
        <v>46121</v>
      </c>
      <c r="B299" t="s">
        <v>9</v>
      </c>
      <c r="C299" t="s">
        <v>17</v>
      </c>
      <c r="D299">
        <v>4</v>
      </c>
      <c r="E299" s="4">
        <v>3.75</v>
      </c>
      <c r="F299" s="4">
        <f t="shared" si="12"/>
        <v>15</v>
      </c>
      <c r="G299" t="str">
        <f t="shared" si="13"/>
        <v>Thursday</v>
      </c>
      <c r="H299" t="str">
        <f t="shared" si="14"/>
        <v>April</v>
      </c>
    </row>
    <row r="300" spans="1:8" x14ac:dyDescent="0.35">
      <c r="A300" s="1">
        <v>46121</v>
      </c>
      <c r="B300" t="s">
        <v>11</v>
      </c>
      <c r="C300" t="s">
        <v>18</v>
      </c>
      <c r="D300">
        <v>3</v>
      </c>
      <c r="E300" s="4">
        <v>6.5</v>
      </c>
      <c r="F300" s="4">
        <f t="shared" si="12"/>
        <v>19.5</v>
      </c>
      <c r="G300" t="str">
        <f t="shared" si="13"/>
        <v>Thursday</v>
      </c>
      <c r="H300" t="str">
        <f t="shared" si="14"/>
        <v>April</v>
      </c>
    </row>
    <row r="301" spans="1:8" x14ac:dyDescent="0.35">
      <c r="A301" s="1">
        <v>46122</v>
      </c>
      <c r="B301" t="s">
        <v>7</v>
      </c>
      <c r="C301" t="s">
        <v>16</v>
      </c>
      <c r="D301">
        <v>2</v>
      </c>
      <c r="E301" s="4">
        <v>3.5</v>
      </c>
      <c r="F301" s="4">
        <f t="shared" si="12"/>
        <v>7</v>
      </c>
      <c r="G301" t="str">
        <f t="shared" si="13"/>
        <v>Friday</v>
      </c>
      <c r="H301" t="str">
        <f t="shared" si="14"/>
        <v>April</v>
      </c>
    </row>
    <row r="302" spans="1:8" x14ac:dyDescent="0.35">
      <c r="A302" s="1">
        <v>46122</v>
      </c>
      <c r="B302" t="s">
        <v>8</v>
      </c>
      <c r="C302" t="s">
        <v>16</v>
      </c>
      <c r="D302">
        <v>5</v>
      </c>
      <c r="E302" s="4">
        <v>4.25</v>
      </c>
      <c r="F302" s="4">
        <f t="shared" si="12"/>
        <v>21.25</v>
      </c>
      <c r="G302" t="str">
        <f t="shared" si="13"/>
        <v>Friday</v>
      </c>
      <c r="H302" t="str">
        <f t="shared" si="14"/>
        <v>April</v>
      </c>
    </row>
    <row r="303" spans="1:8" x14ac:dyDescent="0.35">
      <c r="A303" s="1">
        <v>46122</v>
      </c>
      <c r="B303" t="s">
        <v>13</v>
      </c>
      <c r="C303" t="s">
        <v>16</v>
      </c>
      <c r="D303">
        <v>1</v>
      </c>
      <c r="E303" s="4">
        <v>4.75</v>
      </c>
      <c r="F303" s="4">
        <f t="shared" si="12"/>
        <v>4.75</v>
      </c>
      <c r="G303" t="str">
        <f t="shared" si="13"/>
        <v>Friday</v>
      </c>
      <c r="H303" t="str">
        <f t="shared" si="14"/>
        <v>April</v>
      </c>
    </row>
    <row r="304" spans="1:8" x14ac:dyDescent="0.35">
      <c r="A304" s="1">
        <v>46123</v>
      </c>
      <c r="B304" t="s">
        <v>6</v>
      </c>
      <c r="C304" t="s">
        <v>16</v>
      </c>
      <c r="D304">
        <v>3</v>
      </c>
      <c r="E304" s="4">
        <v>4.5</v>
      </c>
      <c r="F304" s="4">
        <f t="shared" si="12"/>
        <v>13.5</v>
      </c>
      <c r="G304" t="str">
        <f t="shared" si="13"/>
        <v>Saturday</v>
      </c>
      <c r="H304" t="str">
        <f t="shared" si="14"/>
        <v>April</v>
      </c>
    </row>
    <row r="305" spans="1:8" x14ac:dyDescent="0.35">
      <c r="A305" s="1">
        <v>46123</v>
      </c>
      <c r="B305" t="s">
        <v>12</v>
      </c>
      <c r="C305" t="s">
        <v>17</v>
      </c>
      <c r="D305">
        <v>9</v>
      </c>
      <c r="E305" s="4">
        <v>2.5</v>
      </c>
      <c r="F305" s="4">
        <f t="shared" si="12"/>
        <v>22.5</v>
      </c>
      <c r="G305" t="str">
        <f t="shared" si="13"/>
        <v>Saturday</v>
      </c>
      <c r="H305" t="str">
        <f t="shared" si="14"/>
        <v>April</v>
      </c>
    </row>
    <row r="306" spans="1:8" x14ac:dyDescent="0.35">
      <c r="A306" s="1">
        <v>46123</v>
      </c>
      <c r="B306" t="s">
        <v>15</v>
      </c>
      <c r="C306" t="s">
        <v>16</v>
      </c>
      <c r="D306">
        <v>4</v>
      </c>
      <c r="E306" s="4">
        <v>4.5</v>
      </c>
      <c r="F306" s="4">
        <f t="shared" si="12"/>
        <v>18</v>
      </c>
      <c r="G306" t="str">
        <f t="shared" si="13"/>
        <v>Saturday</v>
      </c>
      <c r="H306" t="str">
        <f t="shared" si="14"/>
        <v>April</v>
      </c>
    </row>
    <row r="307" spans="1:8" x14ac:dyDescent="0.35">
      <c r="A307" s="1">
        <v>46124</v>
      </c>
      <c r="B307" t="s">
        <v>10</v>
      </c>
      <c r="C307" t="s">
        <v>17</v>
      </c>
      <c r="D307">
        <v>1</v>
      </c>
      <c r="E307" s="4">
        <v>3.25</v>
      </c>
      <c r="F307" s="4">
        <f t="shared" si="12"/>
        <v>3.25</v>
      </c>
      <c r="G307" t="str">
        <f t="shared" si="13"/>
        <v>Sunday</v>
      </c>
      <c r="H307" t="str">
        <f t="shared" si="14"/>
        <v>April</v>
      </c>
    </row>
    <row r="308" spans="1:8" x14ac:dyDescent="0.35">
      <c r="A308" s="1">
        <v>46124</v>
      </c>
      <c r="B308" t="s">
        <v>14</v>
      </c>
      <c r="C308" t="s">
        <v>16</v>
      </c>
      <c r="D308">
        <v>3</v>
      </c>
      <c r="E308" s="4">
        <v>5.5</v>
      </c>
      <c r="F308" s="4">
        <f t="shared" si="12"/>
        <v>16.5</v>
      </c>
      <c r="G308" t="str">
        <f t="shared" si="13"/>
        <v>Sunday</v>
      </c>
      <c r="H308" t="str">
        <f t="shared" si="14"/>
        <v>April</v>
      </c>
    </row>
    <row r="309" spans="1:8" x14ac:dyDescent="0.35">
      <c r="A309" s="1">
        <v>46124</v>
      </c>
      <c r="B309" t="s">
        <v>9</v>
      </c>
      <c r="C309" t="s">
        <v>17</v>
      </c>
      <c r="D309">
        <v>6</v>
      </c>
      <c r="E309" s="4">
        <v>3.75</v>
      </c>
      <c r="F309" s="4">
        <f t="shared" si="12"/>
        <v>22.5</v>
      </c>
      <c r="G309" t="str">
        <f t="shared" si="13"/>
        <v>Sunday</v>
      </c>
      <c r="H309" t="str">
        <f t="shared" si="14"/>
        <v>April</v>
      </c>
    </row>
    <row r="310" spans="1:8" x14ac:dyDescent="0.35">
      <c r="A310" s="1">
        <v>46125</v>
      </c>
      <c r="B310" t="s">
        <v>11</v>
      </c>
      <c r="C310" t="s">
        <v>18</v>
      </c>
      <c r="D310">
        <v>2</v>
      </c>
      <c r="E310" s="4">
        <v>6.5</v>
      </c>
      <c r="F310" s="4">
        <f t="shared" si="12"/>
        <v>13</v>
      </c>
      <c r="G310" t="str">
        <f t="shared" si="13"/>
        <v>Monday</v>
      </c>
      <c r="H310" t="str">
        <f t="shared" si="14"/>
        <v>April</v>
      </c>
    </row>
    <row r="311" spans="1:8" x14ac:dyDescent="0.35">
      <c r="A311" s="1">
        <v>46125</v>
      </c>
      <c r="B311" t="s">
        <v>7</v>
      </c>
      <c r="C311" t="s">
        <v>16</v>
      </c>
      <c r="D311">
        <v>3</v>
      </c>
      <c r="E311" s="4">
        <v>3.5</v>
      </c>
      <c r="F311" s="4">
        <f t="shared" si="12"/>
        <v>10.5</v>
      </c>
      <c r="G311" t="str">
        <f t="shared" si="13"/>
        <v>Monday</v>
      </c>
      <c r="H311" t="str">
        <f t="shared" si="14"/>
        <v>April</v>
      </c>
    </row>
    <row r="312" spans="1:8" x14ac:dyDescent="0.35">
      <c r="A312" s="1">
        <v>46125</v>
      </c>
      <c r="B312" t="s">
        <v>8</v>
      </c>
      <c r="C312" t="s">
        <v>16</v>
      </c>
      <c r="D312">
        <v>1</v>
      </c>
      <c r="E312" s="4">
        <v>4.25</v>
      </c>
      <c r="F312" s="4">
        <f t="shared" si="12"/>
        <v>4.25</v>
      </c>
      <c r="G312" t="str">
        <f t="shared" si="13"/>
        <v>Monday</v>
      </c>
      <c r="H312" t="str">
        <f t="shared" si="14"/>
        <v>April</v>
      </c>
    </row>
    <row r="313" spans="1:8" x14ac:dyDescent="0.35">
      <c r="A313" s="1">
        <v>46126</v>
      </c>
      <c r="B313" t="s">
        <v>13</v>
      </c>
      <c r="C313" t="s">
        <v>16</v>
      </c>
      <c r="D313">
        <v>4</v>
      </c>
      <c r="E313" s="4">
        <v>4.75</v>
      </c>
      <c r="F313" s="4">
        <f t="shared" si="12"/>
        <v>19</v>
      </c>
      <c r="G313" t="str">
        <f t="shared" si="13"/>
        <v>Tuesday</v>
      </c>
      <c r="H313" t="str">
        <f t="shared" si="14"/>
        <v>April</v>
      </c>
    </row>
    <row r="314" spans="1:8" x14ac:dyDescent="0.35">
      <c r="A314" s="1">
        <v>46126</v>
      </c>
      <c r="B314" t="s">
        <v>6</v>
      </c>
      <c r="C314" t="s">
        <v>16</v>
      </c>
      <c r="D314">
        <v>5</v>
      </c>
      <c r="E314" s="4">
        <v>4.5</v>
      </c>
      <c r="F314" s="4">
        <f t="shared" si="12"/>
        <v>22.5</v>
      </c>
      <c r="G314" t="str">
        <f t="shared" si="13"/>
        <v>Tuesday</v>
      </c>
      <c r="H314" t="str">
        <f t="shared" si="14"/>
        <v>April</v>
      </c>
    </row>
    <row r="315" spans="1:8" x14ac:dyDescent="0.35">
      <c r="A315" s="1">
        <v>46126</v>
      </c>
      <c r="B315" t="s">
        <v>12</v>
      </c>
      <c r="C315" t="s">
        <v>17</v>
      </c>
      <c r="D315">
        <v>6</v>
      </c>
      <c r="E315" s="4">
        <v>2.5</v>
      </c>
      <c r="F315" s="4">
        <f t="shared" si="12"/>
        <v>15</v>
      </c>
      <c r="G315" t="str">
        <f t="shared" si="13"/>
        <v>Tuesday</v>
      </c>
      <c r="H315" t="str">
        <f t="shared" si="14"/>
        <v>April</v>
      </c>
    </row>
    <row r="316" spans="1:8" x14ac:dyDescent="0.35">
      <c r="A316" s="1">
        <v>46127</v>
      </c>
      <c r="B316" t="s">
        <v>15</v>
      </c>
      <c r="C316" t="s">
        <v>16</v>
      </c>
      <c r="D316">
        <v>1</v>
      </c>
      <c r="E316" s="4">
        <v>4.5</v>
      </c>
      <c r="F316" s="4">
        <f t="shared" si="12"/>
        <v>4.5</v>
      </c>
      <c r="G316" t="str">
        <f t="shared" si="13"/>
        <v>Wednesday</v>
      </c>
      <c r="H316" t="str">
        <f t="shared" si="14"/>
        <v>April</v>
      </c>
    </row>
    <row r="317" spans="1:8" x14ac:dyDescent="0.35">
      <c r="A317" s="1">
        <v>46127</v>
      </c>
      <c r="B317" t="s">
        <v>10</v>
      </c>
      <c r="C317" t="s">
        <v>17</v>
      </c>
      <c r="D317">
        <v>3</v>
      </c>
      <c r="E317" s="4">
        <v>3.25</v>
      </c>
      <c r="F317" s="4">
        <f t="shared" si="12"/>
        <v>9.75</v>
      </c>
      <c r="G317" t="str">
        <f t="shared" si="13"/>
        <v>Wednesday</v>
      </c>
      <c r="H317" t="str">
        <f t="shared" si="14"/>
        <v>April</v>
      </c>
    </row>
    <row r="318" spans="1:8" x14ac:dyDescent="0.35">
      <c r="A318" s="1">
        <v>46127</v>
      </c>
      <c r="B318" t="s">
        <v>14</v>
      </c>
      <c r="C318" t="s">
        <v>16</v>
      </c>
      <c r="D318">
        <v>5</v>
      </c>
      <c r="E318" s="4">
        <v>5.5</v>
      </c>
      <c r="F318" s="4">
        <f t="shared" si="12"/>
        <v>27.5</v>
      </c>
      <c r="G318" t="str">
        <f t="shared" si="13"/>
        <v>Wednesday</v>
      </c>
      <c r="H318" t="str">
        <f t="shared" si="14"/>
        <v>April</v>
      </c>
    </row>
    <row r="319" spans="1:8" x14ac:dyDescent="0.35">
      <c r="A319" s="1">
        <v>46128</v>
      </c>
      <c r="B319" t="s">
        <v>9</v>
      </c>
      <c r="C319" t="s">
        <v>17</v>
      </c>
      <c r="D319">
        <v>3</v>
      </c>
      <c r="E319" s="4">
        <v>3.75</v>
      </c>
      <c r="F319" s="4">
        <f t="shared" si="12"/>
        <v>11.25</v>
      </c>
      <c r="G319" t="str">
        <f t="shared" si="13"/>
        <v>Thursday</v>
      </c>
      <c r="H319" t="str">
        <f t="shared" si="14"/>
        <v>April</v>
      </c>
    </row>
    <row r="320" spans="1:8" x14ac:dyDescent="0.35">
      <c r="A320" s="1">
        <v>46128</v>
      </c>
      <c r="B320" t="s">
        <v>11</v>
      </c>
      <c r="C320" t="s">
        <v>18</v>
      </c>
      <c r="D320">
        <v>4</v>
      </c>
      <c r="E320" s="4">
        <v>6.5</v>
      </c>
      <c r="F320" s="4">
        <f t="shared" si="12"/>
        <v>26</v>
      </c>
      <c r="G320" t="str">
        <f t="shared" si="13"/>
        <v>Thursday</v>
      </c>
      <c r="H320" t="str">
        <f t="shared" si="14"/>
        <v>April</v>
      </c>
    </row>
    <row r="321" spans="1:8" x14ac:dyDescent="0.35">
      <c r="A321" s="1">
        <v>46128</v>
      </c>
      <c r="B321" t="s">
        <v>7</v>
      </c>
      <c r="C321" t="s">
        <v>16</v>
      </c>
      <c r="D321">
        <v>1</v>
      </c>
      <c r="E321" s="4">
        <v>3.5</v>
      </c>
      <c r="F321" s="4">
        <f t="shared" si="12"/>
        <v>3.5</v>
      </c>
      <c r="G321" t="str">
        <f t="shared" si="13"/>
        <v>Thursday</v>
      </c>
      <c r="H321" t="str">
        <f t="shared" si="14"/>
        <v>April</v>
      </c>
    </row>
    <row r="322" spans="1:8" x14ac:dyDescent="0.35">
      <c r="A322" s="1">
        <v>46129</v>
      </c>
      <c r="B322" t="s">
        <v>8</v>
      </c>
      <c r="C322" t="s">
        <v>16</v>
      </c>
      <c r="D322">
        <v>2</v>
      </c>
      <c r="E322" s="4">
        <v>4.25</v>
      </c>
      <c r="F322" s="4">
        <f t="shared" si="12"/>
        <v>8.5</v>
      </c>
      <c r="G322" t="str">
        <f t="shared" si="13"/>
        <v>Friday</v>
      </c>
      <c r="H322" t="str">
        <f t="shared" si="14"/>
        <v>April</v>
      </c>
    </row>
    <row r="323" spans="1:8" x14ac:dyDescent="0.35">
      <c r="A323" s="1">
        <v>46129</v>
      </c>
      <c r="B323" t="s">
        <v>13</v>
      </c>
      <c r="C323" t="s">
        <v>16</v>
      </c>
      <c r="D323">
        <v>3</v>
      </c>
      <c r="E323" s="4">
        <v>4.75</v>
      </c>
      <c r="F323" s="4">
        <f t="shared" si="12"/>
        <v>14.25</v>
      </c>
      <c r="G323" t="str">
        <f t="shared" si="13"/>
        <v>Friday</v>
      </c>
      <c r="H323" t="str">
        <f t="shared" si="14"/>
        <v>April</v>
      </c>
    </row>
    <row r="324" spans="1:8" x14ac:dyDescent="0.35">
      <c r="A324" s="1">
        <v>46129</v>
      </c>
      <c r="B324" t="s">
        <v>6</v>
      </c>
      <c r="C324" t="s">
        <v>16</v>
      </c>
      <c r="D324">
        <v>4</v>
      </c>
      <c r="E324" s="4">
        <v>4.5</v>
      </c>
      <c r="F324" s="4">
        <f t="shared" si="12"/>
        <v>18</v>
      </c>
      <c r="G324" t="str">
        <f t="shared" si="13"/>
        <v>Friday</v>
      </c>
      <c r="H324" t="str">
        <f t="shared" si="14"/>
        <v>April</v>
      </c>
    </row>
    <row r="325" spans="1:8" x14ac:dyDescent="0.35">
      <c r="A325" s="1">
        <v>46130</v>
      </c>
      <c r="B325" t="s">
        <v>12</v>
      </c>
      <c r="C325" t="s">
        <v>17</v>
      </c>
      <c r="D325">
        <v>10</v>
      </c>
      <c r="E325" s="4">
        <v>2.5</v>
      </c>
      <c r="F325" s="4">
        <f t="shared" ref="F325:F388" si="15">D325*E325</f>
        <v>25</v>
      </c>
      <c r="G325" t="str">
        <f t="shared" ref="G325:G388" si="16">TEXT(A325,"dddd")</f>
        <v>Saturday</v>
      </c>
      <c r="H325" t="str">
        <f t="shared" ref="H325:H388" si="17">TEXT(A325,"mmmm")</f>
        <v>April</v>
      </c>
    </row>
    <row r="326" spans="1:8" x14ac:dyDescent="0.35">
      <c r="A326" s="1">
        <v>46130</v>
      </c>
      <c r="B326" t="s">
        <v>15</v>
      </c>
      <c r="C326" t="s">
        <v>16</v>
      </c>
      <c r="D326">
        <v>5</v>
      </c>
      <c r="E326" s="4">
        <v>4.5</v>
      </c>
      <c r="F326" s="4">
        <f t="shared" si="15"/>
        <v>22.5</v>
      </c>
      <c r="G326" t="str">
        <f t="shared" si="16"/>
        <v>Saturday</v>
      </c>
      <c r="H326" t="str">
        <f t="shared" si="17"/>
        <v>April</v>
      </c>
    </row>
    <row r="327" spans="1:8" x14ac:dyDescent="0.35">
      <c r="A327" s="1">
        <v>46130</v>
      </c>
      <c r="B327" t="s">
        <v>10</v>
      </c>
      <c r="C327" t="s">
        <v>17</v>
      </c>
      <c r="D327">
        <v>2</v>
      </c>
      <c r="E327" s="4">
        <v>3.25</v>
      </c>
      <c r="F327" s="4">
        <f t="shared" si="15"/>
        <v>6.5</v>
      </c>
      <c r="G327" t="str">
        <f t="shared" si="16"/>
        <v>Saturday</v>
      </c>
      <c r="H327" t="str">
        <f t="shared" si="17"/>
        <v>April</v>
      </c>
    </row>
    <row r="328" spans="1:8" x14ac:dyDescent="0.35">
      <c r="A328" s="1">
        <v>46131</v>
      </c>
      <c r="B328" t="s">
        <v>14</v>
      </c>
      <c r="C328" t="s">
        <v>16</v>
      </c>
      <c r="D328">
        <v>4</v>
      </c>
      <c r="E328" s="4">
        <v>5.5</v>
      </c>
      <c r="F328" s="4">
        <f t="shared" si="15"/>
        <v>22</v>
      </c>
      <c r="G328" t="str">
        <f t="shared" si="16"/>
        <v>Sunday</v>
      </c>
      <c r="H328" t="str">
        <f t="shared" si="17"/>
        <v>April</v>
      </c>
    </row>
    <row r="329" spans="1:8" x14ac:dyDescent="0.35">
      <c r="A329" s="1">
        <v>46131</v>
      </c>
      <c r="B329" t="s">
        <v>9</v>
      </c>
      <c r="C329" t="s">
        <v>17</v>
      </c>
      <c r="D329">
        <v>1</v>
      </c>
      <c r="E329" s="4">
        <v>3.75</v>
      </c>
      <c r="F329" s="4">
        <f t="shared" si="15"/>
        <v>3.75</v>
      </c>
      <c r="G329" t="str">
        <f t="shared" si="16"/>
        <v>Sunday</v>
      </c>
      <c r="H329" t="str">
        <f t="shared" si="17"/>
        <v>April</v>
      </c>
    </row>
    <row r="330" spans="1:8" x14ac:dyDescent="0.35">
      <c r="A330" s="1">
        <v>46131</v>
      </c>
      <c r="B330" t="s">
        <v>11</v>
      </c>
      <c r="C330" t="s">
        <v>18</v>
      </c>
      <c r="D330">
        <v>5</v>
      </c>
      <c r="E330" s="4">
        <v>6.5</v>
      </c>
      <c r="F330" s="4">
        <f t="shared" si="15"/>
        <v>32.5</v>
      </c>
      <c r="G330" t="str">
        <f t="shared" si="16"/>
        <v>Sunday</v>
      </c>
      <c r="H330" t="str">
        <f t="shared" si="17"/>
        <v>April</v>
      </c>
    </row>
    <row r="331" spans="1:8" x14ac:dyDescent="0.35">
      <c r="A331" s="1">
        <v>46132</v>
      </c>
      <c r="B331" t="s">
        <v>7</v>
      </c>
      <c r="C331" t="s">
        <v>16</v>
      </c>
      <c r="D331">
        <v>3</v>
      </c>
      <c r="E331" s="4">
        <v>3.5</v>
      </c>
      <c r="F331" s="4">
        <f t="shared" si="15"/>
        <v>10.5</v>
      </c>
      <c r="G331" t="str">
        <f t="shared" si="16"/>
        <v>Monday</v>
      </c>
      <c r="H331" t="str">
        <f t="shared" si="17"/>
        <v>April</v>
      </c>
    </row>
    <row r="332" spans="1:8" x14ac:dyDescent="0.35">
      <c r="A332" s="1">
        <v>46132</v>
      </c>
      <c r="B332" t="s">
        <v>8</v>
      </c>
      <c r="C332" t="s">
        <v>16</v>
      </c>
      <c r="D332">
        <v>4</v>
      </c>
      <c r="E332" s="4">
        <v>4.25</v>
      </c>
      <c r="F332" s="4">
        <f t="shared" si="15"/>
        <v>17</v>
      </c>
      <c r="G332" t="str">
        <f t="shared" si="16"/>
        <v>Monday</v>
      </c>
      <c r="H332" t="str">
        <f t="shared" si="17"/>
        <v>April</v>
      </c>
    </row>
    <row r="333" spans="1:8" x14ac:dyDescent="0.35">
      <c r="A333" s="1">
        <v>46132</v>
      </c>
      <c r="B333" t="s">
        <v>13</v>
      </c>
      <c r="C333" t="s">
        <v>16</v>
      </c>
      <c r="D333">
        <v>2</v>
      </c>
      <c r="E333" s="4">
        <v>4.75</v>
      </c>
      <c r="F333" s="4">
        <f t="shared" si="15"/>
        <v>9.5</v>
      </c>
      <c r="G333" t="str">
        <f t="shared" si="16"/>
        <v>Monday</v>
      </c>
      <c r="H333" t="str">
        <f t="shared" si="17"/>
        <v>April</v>
      </c>
    </row>
    <row r="334" spans="1:8" x14ac:dyDescent="0.35">
      <c r="A334" s="1">
        <v>46133</v>
      </c>
      <c r="B334" t="s">
        <v>6</v>
      </c>
      <c r="C334" t="s">
        <v>16</v>
      </c>
      <c r="D334">
        <v>1</v>
      </c>
      <c r="E334" s="4">
        <v>4.5</v>
      </c>
      <c r="F334" s="4">
        <f t="shared" si="15"/>
        <v>4.5</v>
      </c>
      <c r="G334" t="str">
        <f t="shared" si="16"/>
        <v>Tuesday</v>
      </c>
      <c r="H334" t="str">
        <f t="shared" si="17"/>
        <v>April</v>
      </c>
    </row>
    <row r="335" spans="1:8" x14ac:dyDescent="0.35">
      <c r="A335" s="1">
        <v>46133</v>
      </c>
      <c r="B335" t="s">
        <v>12</v>
      </c>
      <c r="C335" t="s">
        <v>17</v>
      </c>
      <c r="D335">
        <v>8</v>
      </c>
      <c r="E335" s="4">
        <v>2.5</v>
      </c>
      <c r="F335" s="4">
        <f t="shared" si="15"/>
        <v>20</v>
      </c>
      <c r="G335" t="str">
        <f t="shared" si="16"/>
        <v>Tuesday</v>
      </c>
      <c r="H335" t="str">
        <f t="shared" si="17"/>
        <v>April</v>
      </c>
    </row>
    <row r="336" spans="1:8" x14ac:dyDescent="0.35">
      <c r="A336" s="1">
        <v>46133</v>
      </c>
      <c r="B336" t="s">
        <v>15</v>
      </c>
      <c r="C336" t="s">
        <v>16</v>
      </c>
      <c r="D336">
        <v>2</v>
      </c>
      <c r="E336" s="4">
        <v>4.5</v>
      </c>
      <c r="F336" s="4">
        <f t="shared" si="15"/>
        <v>9</v>
      </c>
      <c r="G336" t="str">
        <f t="shared" si="16"/>
        <v>Tuesday</v>
      </c>
      <c r="H336" t="str">
        <f t="shared" si="17"/>
        <v>April</v>
      </c>
    </row>
    <row r="337" spans="1:8" x14ac:dyDescent="0.35">
      <c r="A337" s="1">
        <v>46134</v>
      </c>
      <c r="B337" t="s">
        <v>10</v>
      </c>
      <c r="C337" t="s">
        <v>17</v>
      </c>
      <c r="D337">
        <v>4</v>
      </c>
      <c r="E337" s="4">
        <v>3.25</v>
      </c>
      <c r="F337" s="4">
        <f t="shared" si="15"/>
        <v>13</v>
      </c>
      <c r="G337" t="str">
        <f t="shared" si="16"/>
        <v>Wednesday</v>
      </c>
      <c r="H337" t="str">
        <f t="shared" si="17"/>
        <v>April</v>
      </c>
    </row>
    <row r="338" spans="1:8" x14ac:dyDescent="0.35">
      <c r="A338" s="1">
        <v>46134</v>
      </c>
      <c r="B338" t="s">
        <v>14</v>
      </c>
      <c r="C338" t="s">
        <v>16</v>
      </c>
      <c r="D338">
        <v>2</v>
      </c>
      <c r="E338" s="4">
        <v>5.5</v>
      </c>
      <c r="F338" s="4">
        <f t="shared" si="15"/>
        <v>11</v>
      </c>
      <c r="G338" t="str">
        <f t="shared" si="16"/>
        <v>Wednesday</v>
      </c>
      <c r="H338" t="str">
        <f t="shared" si="17"/>
        <v>April</v>
      </c>
    </row>
    <row r="339" spans="1:8" x14ac:dyDescent="0.35">
      <c r="A339" s="1">
        <v>46134</v>
      </c>
      <c r="B339" t="s">
        <v>9</v>
      </c>
      <c r="C339" t="s">
        <v>17</v>
      </c>
      <c r="D339">
        <v>5</v>
      </c>
      <c r="E339" s="4">
        <v>3.75</v>
      </c>
      <c r="F339" s="4">
        <f t="shared" si="15"/>
        <v>18.75</v>
      </c>
      <c r="G339" t="str">
        <f t="shared" si="16"/>
        <v>Wednesday</v>
      </c>
      <c r="H339" t="str">
        <f t="shared" si="17"/>
        <v>April</v>
      </c>
    </row>
    <row r="340" spans="1:8" x14ac:dyDescent="0.35">
      <c r="A340" s="1">
        <v>46135</v>
      </c>
      <c r="B340" t="s">
        <v>11</v>
      </c>
      <c r="C340" t="s">
        <v>18</v>
      </c>
      <c r="D340">
        <v>3</v>
      </c>
      <c r="E340" s="4">
        <v>6.5</v>
      </c>
      <c r="F340" s="4">
        <f t="shared" si="15"/>
        <v>19.5</v>
      </c>
      <c r="G340" t="str">
        <f t="shared" si="16"/>
        <v>Thursday</v>
      </c>
      <c r="H340" t="str">
        <f t="shared" si="17"/>
        <v>April</v>
      </c>
    </row>
    <row r="341" spans="1:8" x14ac:dyDescent="0.35">
      <c r="A341" s="1">
        <v>46135</v>
      </c>
      <c r="B341" t="s">
        <v>7</v>
      </c>
      <c r="C341" t="s">
        <v>16</v>
      </c>
      <c r="D341">
        <v>4</v>
      </c>
      <c r="E341" s="4">
        <v>3.5</v>
      </c>
      <c r="F341" s="4">
        <f t="shared" si="15"/>
        <v>14</v>
      </c>
      <c r="G341" t="str">
        <f t="shared" si="16"/>
        <v>Thursday</v>
      </c>
      <c r="H341" t="str">
        <f t="shared" si="17"/>
        <v>April</v>
      </c>
    </row>
    <row r="342" spans="1:8" x14ac:dyDescent="0.35">
      <c r="A342" s="1">
        <v>46135</v>
      </c>
      <c r="B342" t="s">
        <v>8</v>
      </c>
      <c r="C342" t="s">
        <v>16</v>
      </c>
      <c r="D342">
        <v>3</v>
      </c>
      <c r="E342" s="4">
        <v>4.25</v>
      </c>
      <c r="F342" s="4">
        <f t="shared" si="15"/>
        <v>12.75</v>
      </c>
      <c r="G342" t="str">
        <f t="shared" si="16"/>
        <v>Thursday</v>
      </c>
      <c r="H342" t="str">
        <f t="shared" si="17"/>
        <v>April</v>
      </c>
    </row>
    <row r="343" spans="1:8" x14ac:dyDescent="0.35">
      <c r="A343" s="1">
        <v>46136</v>
      </c>
      <c r="B343" t="s">
        <v>13</v>
      </c>
      <c r="C343" t="s">
        <v>16</v>
      </c>
      <c r="D343">
        <v>5</v>
      </c>
      <c r="E343" s="4">
        <v>4.75</v>
      </c>
      <c r="F343" s="4">
        <f t="shared" si="15"/>
        <v>23.75</v>
      </c>
      <c r="G343" t="str">
        <f t="shared" si="16"/>
        <v>Friday</v>
      </c>
      <c r="H343" t="str">
        <f t="shared" si="17"/>
        <v>April</v>
      </c>
    </row>
    <row r="344" spans="1:8" x14ac:dyDescent="0.35">
      <c r="A344" s="1">
        <v>46136</v>
      </c>
      <c r="B344" t="s">
        <v>6</v>
      </c>
      <c r="C344" t="s">
        <v>16</v>
      </c>
      <c r="D344">
        <v>2</v>
      </c>
      <c r="E344" s="4">
        <v>4.5</v>
      </c>
      <c r="F344" s="4">
        <f t="shared" si="15"/>
        <v>9</v>
      </c>
      <c r="G344" t="str">
        <f t="shared" si="16"/>
        <v>Friday</v>
      </c>
      <c r="H344" t="str">
        <f t="shared" si="17"/>
        <v>April</v>
      </c>
    </row>
    <row r="345" spans="1:8" x14ac:dyDescent="0.35">
      <c r="A345" s="1">
        <v>46136</v>
      </c>
      <c r="B345" t="s">
        <v>12</v>
      </c>
      <c r="C345" t="s">
        <v>17</v>
      </c>
      <c r="D345">
        <v>5</v>
      </c>
      <c r="E345" s="4">
        <v>2.5</v>
      </c>
      <c r="F345" s="4">
        <f t="shared" si="15"/>
        <v>12.5</v>
      </c>
      <c r="G345" t="str">
        <f t="shared" si="16"/>
        <v>Friday</v>
      </c>
      <c r="H345" t="str">
        <f t="shared" si="17"/>
        <v>April</v>
      </c>
    </row>
    <row r="346" spans="1:8" x14ac:dyDescent="0.35">
      <c r="A346" s="1">
        <v>46137</v>
      </c>
      <c r="B346" t="s">
        <v>15</v>
      </c>
      <c r="C346" t="s">
        <v>16</v>
      </c>
      <c r="D346">
        <v>1</v>
      </c>
      <c r="E346" s="4">
        <v>4.5</v>
      </c>
      <c r="F346" s="4">
        <f t="shared" si="15"/>
        <v>4.5</v>
      </c>
      <c r="G346" t="str">
        <f t="shared" si="16"/>
        <v>Saturday</v>
      </c>
      <c r="H346" t="str">
        <f t="shared" si="17"/>
        <v>April</v>
      </c>
    </row>
    <row r="347" spans="1:8" x14ac:dyDescent="0.35">
      <c r="A347" s="1">
        <v>46137</v>
      </c>
      <c r="B347" t="s">
        <v>10</v>
      </c>
      <c r="C347" t="s">
        <v>17</v>
      </c>
      <c r="D347">
        <v>3</v>
      </c>
      <c r="E347" s="4">
        <v>3.25</v>
      </c>
      <c r="F347" s="4">
        <f t="shared" si="15"/>
        <v>9.75</v>
      </c>
      <c r="G347" t="str">
        <f t="shared" si="16"/>
        <v>Saturday</v>
      </c>
      <c r="H347" t="str">
        <f t="shared" si="17"/>
        <v>April</v>
      </c>
    </row>
    <row r="348" spans="1:8" x14ac:dyDescent="0.35">
      <c r="A348" s="1">
        <v>46137</v>
      </c>
      <c r="B348" t="s">
        <v>14</v>
      </c>
      <c r="C348" t="s">
        <v>16</v>
      </c>
      <c r="D348">
        <v>4</v>
      </c>
      <c r="E348" s="4">
        <v>5.5</v>
      </c>
      <c r="F348" s="4">
        <f t="shared" si="15"/>
        <v>22</v>
      </c>
      <c r="G348" t="str">
        <f t="shared" si="16"/>
        <v>Saturday</v>
      </c>
      <c r="H348" t="str">
        <f t="shared" si="17"/>
        <v>April</v>
      </c>
    </row>
    <row r="349" spans="1:8" x14ac:dyDescent="0.35">
      <c r="A349" s="1">
        <v>46138</v>
      </c>
      <c r="B349" t="s">
        <v>9</v>
      </c>
      <c r="C349" t="s">
        <v>17</v>
      </c>
      <c r="D349">
        <v>2</v>
      </c>
      <c r="E349" s="4">
        <v>3.75</v>
      </c>
      <c r="F349" s="4">
        <f t="shared" si="15"/>
        <v>7.5</v>
      </c>
      <c r="G349" t="str">
        <f t="shared" si="16"/>
        <v>Sunday</v>
      </c>
      <c r="H349" t="str">
        <f t="shared" si="17"/>
        <v>April</v>
      </c>
    </row>
    <row r="350" spans="1:8" x14ac:dyDescent="0.35">
      <c r="A350" s="1">
        <v>46138</v>
      </c>
      <c r="B350" t="s">
        <v>11</v>
      </c>
      <c r="C350" t="s">
        <v>18</v>
      </c>
      <c r="D350">
        <v>4</v>
      </c>
      <c r="E350" s="4">
        <v>6.5</v>
      </c>
      <c r="F350" s="4">
        <f t="shared" si="15"/>
        <v>26</v>
      </c>
      <c r="G350" t="str">
        <f t="shared" si="16"/>
        <v>Sunday</v>
      </c>
      <c r="H350" t="str">
        <f t="shared" si="17"/>
        <v>April</v>
      </c>
    </row>
    <row r="351" spans="1:8" x14ac:dyDescent="0.35">
      <c r="A351" s="1">
        <v>46138</v>
      </c>
      <c r="B351" t="s">
        <v>7</v>
      </c>
      <c r="C351" t="s">
        <v>16</v>
      </c>
      <c r="D351">
        <v>5</v>
      </c>
      <c r="E351" s="4">
        <v>3.5</v>
      </c>
      <c r="F351" s="4">
        <f t="shared" si="15"/>
        <v>17.5</v>
      </c>
      <c r="G351" t="str">
        <f t="shared" si="16"/>
        <v>Sunday</v>
      </c>
      <c r="H351" t="str">
        <f t="shared" si="17"/>
        <v>April</v>
      </c>
    </row>
    <row r="352" spans="1:8" x14ac:dyDescent="0.35">
      <c r="A352" s="1">
        <v>46139</v>
      </c>
      <c r="B352" t="s">
        <v>8</v>
      </c>
      <c r="C352" t="s">
        <v>16</v>
      </c>
      <c r="D352">
        <v>1</v>
      </c>
      <c r="E352" s="4">
        <v>4.25</v>
      </c>
      <c r="F352" s="4">
        <f t="shared" si="15"/>
        <v>4.25</v>
      </c>
      <c r="G352" t="str">
        <f t="shared" si="16"/>
        <v>Monday</v>
      </c>
      <c r="H352" t="str">
        <f t="shared" si="17"/>
        <v>April</v>
      </c>
    </row>
    <row r="353" spans="1:8" x14ac:dyDescent="0.35">
      <c r="A353" s="1">
        <v>46139</v>
      </c>
      <c r="B353" t="s">
        <v>13</v>
      </c>
      <c r="C353" t="s">
        <v>16</v>
      </c>
      <c r="D353">
        <v>3</v>
      </c>
      <c r="E353" s="4">
        <v>4.75</v>
      </c>
      <c r="F353" s="4">
        <f t="shared" si="15"/>
        <v>14.25</v>
      </c>
      <c r="G353" t="str">
        <f t="shared" si="16"/>
        <v>Monday</v>
      </c>
      <c r="H353" t="str">
        <f t="shared" si="17"/>
        <v>April</v>
      </c>
    </row>
    <row r="354" spans="1:8" x14ac:dyDescent="0.35">
      <c r="A354" s="1">
        <v>46139</v>
      </c>
      <c r="B354" t="s">
        <v>6</v>
      </c>
      <c r="C354" t="s">
        <v>16</v>
      </c>
      <c r="D354">
        <v>3</v>
      </c>
      <c r="E354" s="4">
        <v>4.5</v>
      </c>
      <c r="F354" s="4">
        <f t="shared" si="15"/>
        <v>13.5</v>
      </c>
      <c r="G354" t="str">
        <f t="shared" si="16"/>
        <v>Monday</v>
      </c>
      <c r="H354" t="str">
        <f t="shared" si="17"/>
        <v>April</v>
      </c>
    </row>
    <row r="355" spans="1:8" x14ac:dyDescent="0.35">
      <c r="A355" s="1">
        <v>46140</v>
      </c>
      <c r="B355" t="s">
        <v>12</v>
      </c>
      <c r="C355" t="s">
        <v>17</v>
      </c>
      <c r="D355">
        <v>12</v>
      </c>
      <c r="E355" s="4">
        <v>2.5</v>
      </c>
      <c r="F355" s="4">
        <f t="shared" si="15"/>
        <v>30</v>
      </c>
      <c r="G355" t="str">
        <f t="shared" si="16"/>
        <v>Tuesday</v>
      </c>
      <c r="H355" t="str">
        <f t="shared" si="17"/>
        <v>April</v>
      </c>
    </row>
    <row r="356" spans="1:8" x14ac:dyDescent="0.35">
      <c r="A356" s="1">
        <v>46140</v>
      </c>
      <c r="B356" t="s">
        <v>15</v>
      </c>
      <c r="C356" t="s">
        <v>16</v>
      </c>
      <c r="D356">
        <v>4</v>
      </c>
      <c r="E356" s="4">
        <v>4.5</v>
      </c>
      <c r="F356" s="4">
        <f t="shared" si="15"/>
        <v>18</v>
      </c>
      <c r="G356" t="str">
        <f t="shared" si="16"/>
        <v>Tuesday</v>
      </c>
      <c r="H356" t="str">
        <f t="shared" si="17"/>
        <v>April</v>
      </c>
    </row>
    <row r="357" spans="1:8" x14ac:dyDescent="0.35">
      <c r="A357" s="1">
        <v>46140</v>
      </c>
      <c r="B357" t="s">
        <v>10</v>
      </c>
      <c r="C357" t="s">
        <v>17</v>
      </c>
      <c r="D357">
        <v>2</v>
      </c>
      <c r="E357" s="4">
        <v>3.25</v>
      </c>
      <c r="F357" s="4">
        <f t="shared" si="15"/>
        <v>6.5</v>
      </c>
      <c r="G357" t="str">
        <f t="shared" si="16"/>
        <v>Tuesday</v>
      </c>
      <c r="H357" t="str">
        <f t="shared" si="17"/>
        <v>April</v>
      </c>
    </row>
    <row r="358" spans="1:8" x14ac:dyDescent="0.35">
      <c r="A358" s="1">
        <v>46141</v>
      </c>
      <c r="B358" t="s">
        <v>14</v>
      </c>
      <c r="C358" t="s">
        <v>16</v>
      </c>
      <c r="D358">
        <v>3</v>
      </c>
      <c r="E358" s="4">
        <v>5.5</v>
      </c>
      <c r="F358" s="4">
        <f t="shared" si="15"/>
        <v>16.5</v>
      </c>
      <c r="G358" t="str">
        <f t="shared" si="16"/>
        <v>Wednesday</v>
      </c>
      <c r="H358" t="str">
        <f t="shared" si="17"/>
        <v>April</v>
      </c>
    </row>
    <row r="359" spans="1:8" x14ac:dyDescent="0.35">
      <c r="A359" s="1">
        <v>46141</v>
      </c>
      <c r="B359" t="s">
        <v>9</v>
      </c>
      <c r="C359" t="s">
        <v>17</v>
      </c>
      <c r="D359">
        <v>4</v>
      </c>
      <c r="E359" s="4">
        <v>3.75</v>
      </c>
      <c r="F359" s="4">
        <f t="shared" si="15"/>
        <v>15</v>
      </c>
      <c r="G359" t="str">
        <f t="shared" si="16"/>
        <v>Wednesday</v>
      </c>
      <c r="H359" t="str">
        <f t="shared" si="17"/>
        <v>April</v>
      </c>
    </row>
    <row r="360" spans="1:8" x14ac:dyDescent="0.35">
      <c r="A360" s="1">
        <v>46141</v>
      </c>
      <c r="B360" t="s">
        <v>11</v>
      </c>
      <c r="C360" t="s">
        <v>18</v>
      </c>
      <c r="D360">
        <v>1</v>
      </c>
      <c r="E360" s="4">
        <v>6.5</v>
      </c>
      <c r="F360" s="4">
        <f t="shared" si="15"/>
        <v>6.5</v>
      </c>
      <c r="G360" t="str">
        <f t="shared" si="16"/>
        <v>Wednesday</v>
      </c>
      <c r="H360" t="str">
        <f t="shared" si="17"/>
        <v>April</v>
      </c>
    </row>
    <row r="361" spans="1:8" x14ac:dyDescent="0.35">
      <c r="A361" s="1">
        <v>46142</v>
      </c>
      <c r="B361" t="s">
        <v>7</v>
      </c>
      <c r="C361" t="s">
        <v>16</v>
      </c>
      <c r="D361">
        <v>2</v>
      </c>
      <c r="E361" s="4">
        <v>3.5</v>
      </c>
      <c r="F361" s="4">
        <f t="shared" si="15"/>
        <v>7</v>
      </c>
      <c r="G361" t="str">
        <f t="shared" si="16"/>
        <v>Thursday</v>
      </c>
      <c r="H361" t="str">
        <f t="shared" si="17"/>
        <v>April</v>
      </c>
    </row>
    <row r="362" spans="1:8" x14ac:dyDescent="0.35">
      <c r="A362" s="1">
        <v>46142</v>
      </c>
      <c r="B362" t="s">
        <v>8</v>
      </c>
      <c r="C362" t="s">
        <v>16</v>
      </c>
      <c r="D362">
        <v>5</v>
      </c>
      <c r="E362" s="4">
        <v>4.25</v>
      </c>
      <c r="F362" s="4">
        <f t="shared" si="15"/>
        <v>21.25</v>
      </c>
      <c r="G362" t="str">
        <f t="shared" si="16"/>
        <v>Thursday</v>
      </c>
      <c r="H362" t="str">
        <f t="shared" si="17"/>
        <v>April</v>
      </c>
    </row>
    <row r="363" spans="1:8" x14ac:dyDescent="0.35">
      <c r="A363" s="1">
        <v>46142</v>
      </c>
      <c r="B363" t="s">
        <v>13</v>
      </c>
      <c r="C363" t="s">
        <v>16</v>
      </c>
      <c r="D363">
        <v>4</v>
      </c>
      <c r="E363" s="4">
        <v>4.75</v>
      </c>
      <c r="F363" s="4">
        <f t="shared" si="15"/>
        <v>19</v>
      </c>
      <c r="G363" t="str">
        <f t="shared" si="16"/>
        <v>Thursday</v>
      </c>
      <c r="H363" t="str">
        <f t="shared" si="17"/>
        <v>April</v>
      </c>
    </row>
    <row r="364" spans="1:8" x14ac:dyDescent="0.35">
      <c r="A364" s="1">
        <v>46143</v>
      </c>
      <c r="B364" t="s">
        <v>15</v>
      </c>
      <c r="C364" t="s">
        <v>16</v>
      </c>
      <c r="D364">
        <v>3</v>
      </c>
      <c r="E364" s="4">
        <v>4.5</v>
      </c>
      <c r="F364" s="4">
        <f t="shared" si="15"/>
        <v>13.5</v>
      </c>
      <c r="G364" t="str">
        <f t="shared" si="16"/>
        <v>Friday</v>
      </c>
      <c r="H364" t="str">
        <f t="shared" si="17"/>
        <v>May</v>
      </c>
    </row>
    <row r="365" spans="1:8" x14ac:dyDescent="0.35">
      <c r="A365" s="1">
        <v>46143</v>
      </c>
      <c r="B365" t="s">
        <v>10</v>
      </c>
      <c r="C365" t="s">
        <v>17</v>
      </c>
      <c r="D365">
        <v>1</v>
      </c>
      <c r="E365" s="4">
        <v>3.25</v>
      </c>
      <c r="F365" s="4">
        <f t="shared" si="15"/>
        <v>3.25</v>
      </c>
      <c r="G365" t="str">
        <f t="shared" si="16"/>
        <v>Friday</v>
      </c>
      <c r="H365" t="str">
        <f t="shared" si="17"/>
        <v>May</v>
      </c>
    </row>
    <row r="366" spans="1:8" x14ac:dyDescent="0.35">
      <c r="A366" s="1">
        <v>46143</v>
      </c>
      <c r="B366" t="s">
        <v>14</v>
      </c>
      <c r="C366" t="s">
        <v>16</v>
      </c>
      <c r="D366">
        <v>2</v>
      </c>
      <c r="E366" s="4">
        <v>5.5</v>
      </c>
      <c r="F366" s="4">
        <f t="shared" si="15"/>
        <v>11</v>
      </c>
      <c r="G366" t="str">
        <f t="shared" si="16"/>
        <v>Friday</v>
      </c>
      <c r="H366" t="str">
        <f t="shared" si="17"/>
        <v>May</v>
      </c>
    </row>
    <row r="367" spans="1:8" x14ac:dyDescent="0.35">
      <c r="A367" s="1">
        <v>46144</v>
      </c>
      <c r="B367" t="s">
        <v>9</v>
      </c>
      <c r="C367" t="s">
        <v>17</v>
      </c>
      <c r="D367">
        <v>5</v>
      </c>
      <c r="E367" s="4">
        <v>3.75</v>
      </c>
      <c r="F367" s="4">
        <f t="shared" si="15"/>
        <v>18.75</v>
      </c>
      <c r="G367" t="str">
        <f t="shared" si="16"/>
        <v>Saturday</v>
      </c>
      <c r="H367" t="str">
        <f t="shared" si="17"/>
        <v>May</v>
      </c>
    </row>
    <row r="368" spans="1:8" x14ac:dyDescent="0.35">
      <c r="A368" s="1">
        <v>46144</v>
      </c>
      <c r="B368" t="s">
        <v>11</v>
      </c>
      <c r="C368" t="s">
        <v>18</v>
      </c>
      <c r="D368">
        <v>4</v>
      </c>
      <c r="E368" s="4">
        <v>6.5</v>
      </c>
      <c r="F368" s="4">
        <f t="shared" si="15"/>
        <v>26</v>
      </c>
      <c r="G368" t="str">
        <f t="shared" si="16"/>
        <v>Saturday</v>
      </c>
      <c r="H368" t="str">
        <f t="shared" si="17"/>
        <v>May</v>
      </c>
    </row>
    <row r="369" spans="1:8" x14ac:dyDescent="0.35">
      <c r="A369" s="1">
        <v>46144</v>
      </c>
      <c r="B369" t="s">
        <v>7</v>
      </c>
      <c r="C369" t="s">
        <v>16</v>
      </c>
      <c r="D369">
        <v>1</v>
      </c>
      <c r="E369" s="4">
        <v>3.5</v>
      </c>
      <c r="F369" s="4">
        <f t="shared" si="15"/>
        <v>3.5</v>
      </c>
      <c r="G369" t="str">
        <f t="shared" si="16"/>
        <v>Saturday</v>
      </c>
      <c r="H369" t="str">
        <f t="shared" si="17"/>
        <v>May</v>
      </c>
    </row>
    <row r="370" spans="1:8" x14ac:dyDescent="0.35">
      <c r="A370" s="1">
        <v>46145</v>
      </c>
      <c r="B370" t="s">
        <v>8</v>
      </c>
      <c r="C370" t="s">
        <v>16</v>
      </c>
      <c r="D370">
        <v>3</v>
      </c>
      <c r="E370" s="4">
        <v>4.25</v>
      </c>
      <c r="F370" s="4">
        <f t="shared" si="15"/>
        <v>12.75</v>
      </c>
      <c r="G370" t="str">
        <f t="shared" si="16"/>
        <v>Sunday</v>
      </c>
      <c r="H370" t="str">
        <f t="shared" si="17"/>
        <v>May</v>
      </c>
    </row>
    <row r="371" spans="1:8" x14ac:dyDescent="0.35">
      <c r="A371" s="1">
        <v>46145</v>
      </c>
      <c r="B371" t="s">
        <v>13</v>
      </c>
      <c r="C371" t="s">
        <v>16</v>
      </c>
      <c r="D371">
        <v>5</v>
      </c>
      <c r="E371" s="4">
        <v>4.75</v>
      </c>
      <c r="F371" s="4">
        <f t="shared" si="15"/>
        <v>23.75</v>
      </c>
      <c r="G371" t="str">
        <f t="shared" si="16"/>
        <v>Sunday</v>
      </c>
      <c r="H371" t="str">
        <f t="shared" si="17"/>
        <v>May</v>
      </c>
    </row>
    <row r="372" spans="1:8" x14ac:dyDescent="0.35">
      <c r="A372" s="1">
        <v>46145</v>
      </c>
      <c r="B372" t="s">
        <v>6</v>
      </c>
      <c r="C372" t="s">
        <v>16</v>
      </c>
      <c r="D372">
        <v>4</v>
      </c>
      <c r="E372" s="4">
        <v>4.5</v>
      </c>
      <c r="F372" s="4">
        <f t="shared" si="15"/>
        <v>18</v>
      </c>
      <c r="G372" t="str">
        <f t="shared" si="16"/>
        <v>Sunday</v>
      </c>
      <c r="H372" t="str">
        <f t="shared" si="17"/>
        <v>May</v>
      </c>
    </row>
    <row r="373" spans="1:8" x14ac:dyDescent="0.35">
      <c r="A373" s="1">
        <v>46146</v>
      </c>
      <c r="B373" t="s">
        <v>12</v>
      </c>
      <c r="C373" t="s">
        <v>17</v>
      </c>
      <c r="D373">
        <v>6</v>
      </c>
      <c r="E373" s="4">
        <v>2.5</v>
      </c>
      <c r="F373" s="4">
        <f t="shared" si="15"/>
        <v>15</v>
      </c>
      <c r="G373" t="str">
        <f t="shared" si="16"/>
        <v>Monday</v>
      </c>
      <c r="H373" t="str">
        <f t="shared" si="17"/>
        <v>May</v>
      </c>
    </row>
    <row r="374" spans="1:8" x14ac:dyDescent="0.35">
      <c r="A374" s="1">
        <v>46146</v>
      </c>
      <c r="B374" t="s">
        <v>15</v>
      </c>
      <c r="C374" t="s">
        <v>16</v>
      </c>
      <c r="D374">
        <v>2</v>
      </c>
      <c r="E374" s="4">
        <v>4.5</v>
      </c>
      <c r="F374" s="4">
        <f t="shared" si="15"/>
        <v>9</v>
      </c>
      <c r="G374" t="str">
        <f t="shared" si="16"/>
        <v>Monday</v>
      </c>
      <c r="H374" t="str">
        <f t="shared" si="17"/>
        <v>May</v>
      </c>
    </row>
    <row r="375" spans="1:8" x14ac:dyDescent="0.35">
      <c r="A375" s="1">
        <v>46146</v>
      </c>
      <c r="B375" t="s">
        <v>10</v>
      </c>
      <c r="C375" t="s">
        <v>17</v>
      </c>
      <c r="D375">
        <v>5</v>
      </c>
      <c r="E375" s="4">
        <v>3.25</v>
      </c>
      <c r="F375" s="4">
        <f t="shared" si="15"/>
        <v>16.25</v>
      </c>
      <c r="G375" t="str">
        <f t="shared" si="16"/>
        <v>Monday</v>
      </c>
      <c r="H375" t="str">
        <f t="shared" si="17"/>
        <v>May</v>
      </c>
    </row>
    <row r="376" spans="1:8" x14ac:dyDescent="0.35">
      <c r="A376" s="1">
        <v>46147</v>
      </c>
      <c r="B376" t="s">
        <v>14</v>
      </c>
      <c r="C376" t="s">
        <v>16</v>
      </c>
      <c r="D376">
        <v>4</v>
      </c>
      <c r="E376" s="4">
        <v>5.5</v>
      </c>
      <c r="F376" s="4">
        <f t="shared" si="15"/>
        <v>22</v>
      </c>
      <c r="G376" t="str">
        <f t="shared" si="16"/>
        <v>Tuesday</v>
      </c>
      <c r="H376" t="str">
        <f t="shared" si="17"/>
        <v>May</v>
      </c>
    </row>
    <row r="377" spans="1:8" x14ac:dyDescent="0.35">
      <c r="A377" s="1">
        <v>46147</v>
      </c>
      <c r="B377" t="s">
        <v>9</v>
      </c>
      <c r="C377" t="s">
        <v>17</v>
      </c>
      <c r="D377">
        <v>2</v>
      </c>
      <c r="E377" s="4">
        <v>3.75</v>
      </c>
      <c r="F377" s="4">
        <f t="shared" si="15"/>
        <v>7.5</v>
      </c>
      <c r="G377" t="str">
        <f t="shared" si="16"/>
        <v>Tuesday</v>
      </c>
      <c r="H377" t="str">
        <f t="shared" si="17"/>
        <v>May</v>
      </c>
    </row>
    <row r="378" spans="1:8" x14ac:dyDescent="0.35">
      <c r="A378" s="1">
        <v>46147</v>
      </c>
      <c r="B378" t="s">
        <v>11</v>
      </c>
      <c r="C378" t="s">
        <v>18</v>
      </c>
      <c r="D378">
        <v>3</v>
      </c>
      <c r="E378" s="4">
        <v>6.5</v>
      </c>
      <c r="F378" s="4">
        <f t="shared" si="15"/>
        <v>19.5</v>
      </c>
      <c r="G378" t="str">
        <f t="shared" si="16"/>
        <v>Tuesday</v>
      </c>
      <c r="H378" t="str">
        <f t="shared" si="17"/>
        <v>May</v>
      </c>
    </row>
    <row r="379" spans="1:8" x14ac:dyDescent="0.35">
      <c r="A379" s="1">
        <v>46148</v>
      </c>
      <c r="B379" t="s">
        <v>7</v>
      </c>
      <c r="C379" t="s">
        <v>16</v>
      </c>
      <c r="D379">
        <v>6</v>
      </c>
      <c r="E379" s="4">
        <v>3.5</v>
      </c>
      <c r="F379" s="4">
        <f t="shared" si="15"/>
        <v>21</v>
      </c>
      <c r="G379" t="str">
        <f t="shared" si="16"/>
        <v>Wednesday</v>
      </c>
      <c r="H379" t="str">
        <f t="shared" si="17"/>
        <v>May</v>
      </c>
    </row>
    <row r="380" spans="1:8" x14ac:dyDescent="0.35">
      <c r="A380" s="1">
        <v>46148</v>
      </c>
      <c r="B380" t="s">
        <v>8</v>
      </c>
      <c r="C380" t="s">
        <v>16</v>
      </c>
      <c r="D380">
        <v>1</v>
      </c>
      <c r="E380" s="4">
        <v>4.25</v>
      </c>
      <c r="F380" s="4">
        <f t="shared" si="15"/>
        <v>4.25</v>
      </c>
      <c r="G380" t="str">
        <f t="shared" si="16"/>
        <v>Wednesday</v>
      </c>
      <c r="H380" t="str">
        <f t="shared" si="17"/>
        <v>May</v>
      </c>
    </row>
    <row r="381" spans="1:8" x14ac:dyDescent="0.35">
      <c r="A381" s="1">
        <v>46148</v>
      </c>
      <c r="B381" t="s">
        <v>13</v>
      </c>
      <c r="C381" t="s">
        <v>16</v>
      </c>
      <c r="D381">
        <v>3</v>
      </c>
      <c r="E381" s="4">
        <v>4.75</v>
      </c>
      <c r="F381" s="4">
        <f t="shared" si="15"/>
        <v>14.25</v>
      </c>
      <c r="G381" t="str">
        <f t="shared" si="16"/>
        <v>Wednesday</v>
      </c>
      <c r="H381" t="str">
        <f t="shared" si="17"/>
        <v>May</v>
      </c>
    </row>
    <row r="382" spans="1:8" x14ac:dyDescent="0.35">
      <c r="A382" s="1">
        <v>46149</v>
      </c>
      <c r="B382" t="s">
        <v>6</v>
      </c>
      <c r="C382" t="s">
        <v>16</v>
      </c>
      <c r="D382">
        <v>2</v>
      </c>
      <c r="E382" s="4">
        <v>4.5</v>
      </c>
      <c r="F382" s="4">
        <f t="shared" si="15"/>
        <v>9</v>
      </c>
      <c r="G382" t="str">
        <f t="shared" si="16"/>
        <v>Thursday</v>
      </c>
      <c r="H382" t="str">
        <f t="shared" si="17"/>
        <v>May</v>
      </c>
    </row>
    <row r="383" spans="1:8" x14ac:dyDescent="0.35">
      <c r="A383" s="1">
        <v>46149</v>
      </c>
      <c r="B383" t="s">
        <v>12</v>
      </c>
      <c r="C383" t="s">
        <v>17</v>
      </c>
      <c r="D383">
        <v>9</v>
      </c>
      <c r="E383" s="4">
        <v>2.5</v>
      </c>
      <c r="F383" s="4">
        <f t="shared" si="15"/>
        <v>22.5</v>
      </c>
      <c r="G383" t="str">
        <f t="shared" si="16"/>
        <v>Thursday</v>
      </c>
      <c r="H383" t="str">
        <f t="shared" si="17"/>
        <v>May</v>
      </c>
    </row>
    <row r="384" spans="1:8" x14ac:dyDescent="0.35">
      <c r="A384" s="1">
        <v>46149</v>
      </c>
      <c r="B384" t="s">
        <v>15</v>
      </c>
      <c r="C384" t="s">
        <v>16</v>
      </c>
      <c r="D384">
        <v>5</v>
      </c>
      <c r="E384" s="4">
        <v>4.5</v>
      </c>
      <c r="F384" s="4">
        <f t="shared" si="15"/>
        <v>22.5</v>
      </c>
      <c r="G384" t="str">
        <f t="shared" si="16"/>
        <v>Thursday</v>
      </c>
      <c r="H384" t="str">
        <f t="shared" si="17"/>
        <v>May</v>
      </c>
    </row>
    <row r="385" spans="1:8" x14ac:dyDescent="0.35">
      <c r="A385" s="1">
        <v>46150</v>
      </c>
      <c r="B385" t="s">
        <v>10</v>
      </c>
      <c r="C385" t="s">
        <v>17</v>
      </c>
      <c r="D385">
        <v>4</v>
      </c>
      <c r="E385" s="4">
        <v>3.25</v>
      </c>
      <c r="F385" s="4">
        <f t="shared" si="15"/>
        <v>13</v>
      </c>
      <c r="G385" t="str">
        <f t="shared" si="16"/>
        <v>Friday</v>
      </c>
      <c r="H385" t="str">
        <f t="shared" si="17"/>
        <v>May</v>
      </c>
    </row>
    <row r="386" spans="1:8" x14ac:dyDescent="0.35">
      <c r="A386" s="1">
        <v>46150</v>
      </c>
      <c r="B386" t="s">
        <v>14</v>
      </c>
      <c r="C386" t="s">
        <v>16</v>
      </c>
      <c r="D386">
        <v>1</v>
      </c>
      <c r="E386" s="4">
        <v>5.5</v>
      </c>
      <c r="F386" s="4">
        <f t="shared" si="15"/>
        <v>5.5</v>
      </c>
      <c r="G386" t="str">
        <f t="shared" si="16"/>
        <v>Friday</v>
      </c>
      <c r="H386" t="str">
        <f t="shared" si="17"/>
        <v>May</v>
      </c>
    </row>
    <row r="387" spans="1:8" x14ac:dyDescent="0.35">
      <c r="A387" s="1">
        <v>46150</v>
      </c>
      <c r="B387" t="s">
        <v>9</v>
      </c>
      <c r="C387" t="s">
        <v>17</v>
      </c>
      <c r="D387">
        <v>3</v>
      </c>
      <c r="E387" s="4">
        <v>3.75</v>
      </c>
      <c r="F387" s="4">
        <f t="shared" si="15"/>
        <v>11.25</v>
      </c>
      <c r="G387" t="str">
        <f t="shared" si="16"/>
        <v>Friday</v>
      </c>
      <c r="H387" t="str">
        <f t="shared" si="17"/>
        <v>May</v>
      </c>
    </row>
    <row r="388" spans="1:8" x14ac:dyDescent="0.35">
      <c r="A388" s="1">
        <v>46151</v>
      </c>
      <c r="B388" t="s">
        <v>11</v>
      </c>
      <c r="C388" t="s">
        <v>18</v>
      </c>
      <c r="D388">
        <v>2</v>
      </c>
      <c r="E388" s="4">
        <v>6.5</v>
      </c>
      <c r="F388" s="4">
        <f t="shared" si="15"/>
        <v>13</v>
      </c>
      <c r="G388" t="str">
        <f t="shared" si="16"/>
        <v>Saturday</v>
      </c>
      <c r="H388" t="str">
        <f t="shared" si="17"/>
        <v>May</v>
      </c>
    </row>
    <row r="389" spans="1:8" x14ac:dyDescent="0.35">
      <c r="A389" s="1">
        <v>46151</v>
      </c>
      <c r="B389" t="s">
        <v>7</v>
      </c>
      <c r="C389" t="s">
        <v>16</v>
      </c>
      <c r="D389">
        <v>4</v>
      </c>
      <c r="E389" s="4">
        <v>3.5</v>
      </c>
      <c r="F389" s="4">
        <f t="shared" ref="F389:F452" si="18">D389*E389</f>
        <v>14</v>
      </c>
      <c r="G389" t="str">
        <f t="shared" ref="G389:G452" si="19">TEXT(A389,"dddd")</f>
        <v>Saturday</v>
      </c>
      <c r="H389" t="str">
        <f t="shared" ref="H389:H452" si="20">TEXT(A389,"mmmm")</f>
        <v>May</v>
      </c>
    </row>
    <row r="390" spans="1:8" x14ac:dyDescent="0.35">
      <c r="A390" s="1">
        <v>46151</v>
      </c>
      <c r="B390" t="s">
        <v>8</v>
      </c>
      <c r="C390" t="s">
        <v>16</v>
      </c>
      <c r="D390">
        <v>2</v>
      </c>
      <c r="E390" s="4">
        <v>4.25</v>
      </c>
      <c r="F390" s="4">
        <f t="shared" si="18"/>
        <v>8.5</v>
      </c>
      <c r="G390" t="str">
        <f t="shared" si="19"/>
        <v>Saturday</v>
      </c>
      <c r="H390" t="str">
        <f t="shared" si="20"/>
        <v>May</v>
      </c>
    </row>
    <row r="391" spans="1:8" x14ac:dyDescent="0.35">
      <c r="A391" s="1">
        <v>46152</v>
      </c>
      <c r="B391" t="s">
        <v>13</v>
      </c>
      <c r="C391" t="s">
        <v>16</v>
      </c>
      <c r="D391">
        <v>4</v>
      </c>
      <c r="E391" s="4">
        <v>4.75</v>
      </c>
      <c r="F391" s="4">
        <f t="shared" si="18"/>
        <v>19</v>
      </c>
      <c r="G391" t="str">
        <f t="shared" si="19"/>
        <v>Sunday</v>
      </c>
      <c r="H391" t="str">
        <f t="shared" si="20"/>
        <v>May</v>
      </c>
    </row>
    <row r="392" spans="1:8" x14ac:dyDescent="0.35">
      <c r="A392" s="1">
        <v>46152</v>
      </c>
      <c r="B392" t="s">
        <v>6</v>
      </c>
      <c r="C392" t="s">
        <v>16</v>
      </c>
      <c r="D392">
        <v>5</v>
      </c>
      <c r="E392" s="4">
        <v>4.5</v>
      </c>
      <c r="F392" s="4">
        <f t="shared" si="18"/>
        <v>22.5</v>
      </c>
      <c r="G392" t="str">
        <f t="shared" si="19"/>
        <v>Sunday</v>
      </c>
      <c r="H392" t="str">
        <f t="shared" si="20"/>
        <v>May</v>
      </c>
    </row>
    <row r="393" spans="1:8" x14ac:dyDescent="0.35">
      <c r="A393" s="1">
        <v>46152</v>
      </c>
      <c r="B393" t="s">
        <v>12</v>
      </c>
      <c r="C393" t="s">
        <v>17</v>
      </c>
      <c r="D393">
        <v>7</v>
      </c>
      <c r="E393" s="4">
        <v>2.5</v>
      </c>
      <c r="F393" s="4">
        <f t="shared" si="18"/>
        <v>17.5</v>
      </c>
      <c r="G393" t="str">
        <f t="shared" si="19"/>
        <v>Sunday</v>
      </c>
      <c r="H393" t="str">
        <f t="shared" si="20"/>
        <v>May</v>
      </c>
    </row>
    <row r="394" spans="1:8" x14ac:dyDescent="0.35">
      <c r="A394" s="1">
        <v>46153</v>
      </c>
      <c r="B394" t="s">
        <v>15</v>
      </c>
      <c r="C394" t="s">
        <v>16</v>
      </c>
      <c r="D394">
        <v>1</v>
      </c>
      <c r="E394" s="4">
        <v>4.5</v>
      </c>
      <c r="F394" s="4">
        <f t="shared" si="18"/>
        <v>4.5</v>
      </c>
      <c r="G394" t="str">
        <f t="shared" si="19"/>
        <v>Monday</v>
      </c>
      <c r="H394" t="str">
        <f t="shared" si="20"/>
        <v>May</v>
      </c>
    </row>
    <row r="395" spans="1:8" x14ac:dyDescent="0.35">
      <c r="A395" s="1">
        <v>46153</v>
      </c>
      <c r="B395" t="s">
        <v>10</v>
      </c>
      <c r="C395" t="s">
        <v>17</v>
      </c>
      <c r="D395">
        <v>2</v>
      </c>
      <c r="E395" s="4">
        <v>3.25</v>
      </c>
      <c r="F395" s="4">
        <f t="shared" si="18"/>
        <v>6.5</v>
      </c>
      <c r="G395" t="str">
        <f t="shared" si="19"/>
        <v>Monday</v>
      </c>
      <c r="H395" t="str">
        <f t="shared" si="20"/>
        <v>May</v>
      </c>
    </row>
    <row r="396" spans="1:8" x14ac:dyDescent="0.35">
      <c r="A396" s="1">
        <v>46153</v>
      </c>
      <c r="B396" t="s">
        <v>14</v>
      </c>
      <c r="C396" t="s">
        <v>16</v>
      </c>
      <c r="D396">
        <v>3</v>
      </c>
      <c r="E396" s="4">
        <v>5.5</v>
      </c>
      <c r="F396" s="4">
        <f t="shared" si="18"/>
        <v>16.5</v>
      </c>
      <c r="G396" t="str">
        <f t="shared" si="19"/>
        <v>Monday</v>
      </c>
      <c r="H396" t="str">
        <f t="shared" si="20"/>
        <v>May</v>
      </c>
    </row>
    <row r="397" spans="1:8" x14ac:dyDescent="0.35">
      <c r="A397" s="1">
        <v>46154</v>
      </c>
      <c r="B397" t="s">
        <v>9</v>
      </c>
      <c r="C397" t="s">
        <v>17</v>
      </c>
      <c r="D397">
        <v>4</v>
      </c>
      <c r="E397" s="4">
        <v>3.75</v>
      </c>
      <c r="F397" s="4">
        <f t="shared" si="18"/>
        <v>15</v>
      </c>
      <c r="G397" t="str">
        <f t="shared" si="19"/>
        <v>Tuesday</v>
      </c>
      <c r="H397" t="str">
        <f t="shared" si="20"/>
        <v>May</v>
      </c>
    </row>
    <row r="398" spans="1:8" x14ac:dyDescent="0.35">
      <c r="A398" s="1">
        <v>46154</v>
      </c>
      <c r="B398" t="s">
        <v>11</v>
      </c>
      <c r="C398" t="s">
        <v>18</v>
      </c>
      <c r="D398">
        <v>5</v>
      </c>
      <c r="E398" s="4">
        <v>6.5</v>
      </c>
      <c r="F398" s="4">
        <f t="shared" si="18"/>
        <v>32.5</v>
      </c>
      <c r="G398" t="str">
        <f t="shared" si="19"/>
        <v>Tuesday</v>
      </c>
      <c r="H398" t="str">
        <f t="shared" si="20"/>
        <v>May</v>
      </c>
    </row>
    <row r="399" spans="1:8" x14ac:dyDescent="0.35">
      <c r="A399" s="1">
        <v>46154</v>
      </c>
      <c r="B399" t="s">
        <v>7</v>
      </c>
      <c r="C399" t="s">
        <v>16</v>
      </c>
      <c r="D399">
        <v>2</v>
      </c>
      <c r="E399" s="4">
        <v>3.5</v>
      </c>
      <c r="F399" s="4">
        <f t="shared" si="18"/>
        <v>7</v>
      </c>
      <c r="G399" t="str">
        <f t="shared" si="19"/>
        <v>Tuesday</v>
      </c>
      <c r="H399" t="str">
        <f t="shared" si="20"/>
        <v>May</v>
      </c>
    </row>
    <row r="400" spans="1:8" x14ac:dyDescent="0.35">
      <c r="A400" s="1">
        <v>46155</v>
      </c>
      <c r="B400" t="s">
        <v>8</v>
      </c>
      <c r="C400" t="s">
        <v>16</v>
      </c>
      <c r="D400">
        <v>5</v>
      </c>
      <c r="E400" s="4">
        <v>4.25</v>
      </c>
      <c r="F400" s="4">
        <f t="shared" si="18"/>
        <v>21.25</v>
      </c>
      <c r="G400" t="str">
        <f t="shared" si="19"/>
        <v>Wednesday</v>
      </c>
      <c r="H400" t="str">
        <f t="shared" si="20"/>
        <v>May</v>
      </c>
    </row>
    <row r="401" spans="1:8" x14ac:dyDescent="0.35">
      <c r="A401" s="1">
        <v>46155</v>
      </c>
      <c r="B401" t="s">
        <v>13</v>
      </c>
      <c r="C401" t="s">
        <v>16</v>
      </c>
      <c r="D401">
        <v>1</v>
      </c>
      <c r="E401" s="4">
        <v>4.75</v>
      </c>
      <c r="F401" s="4">
        <f t="shared" si="18"/>
        <v>4.75</v>
      </c>
      <c r="G401" t="str">
        <f t="shared" si="19"/>
        <v>Wednesday</v>
      </c>
      <c r="H401" t="str">
        <f t="shared" si="20"/>
        <v>May</v>
      </c>
    </row>
    <row r="402" spans="1:8" x14ac:dyDescent="0.35">
      <c r="A402" s="1">
        <v>46155</v>
      </c>
      <c r="B402" t="s">
        <v>6</v>
      </c>
      <c r="C402" t="s">
        <v>16</v>
      </c>
      <c r="D402">
        <v>3</v>
      </c>
      <c r="E402" s="4">
        <v>4.5</v>
      </c>
      <c r="F402" s="4">
        <f t="shared" si="18"/>
        <v>13.5</v>
      </c>
      <c r="G402" t="str">
        <f t="shared" si="19"/>
        <v>Wednesday</v>
      </c>
      <c r="H402" t="str">
        <f t="shared" si="20"/>
        <v>May</v>
      </c>
    </row>
    <row r="403" spans="1:8" x14ac:dyDescent="0.35">
      <c r="A403" s="1">
        <v>46156</v>
      </c>
      <c r="B403" t="s">
        <v>12</v>
      </c>
      <c r="C403" t="s">
        <v>17</v>
      </c>
      <c r="D403">
        <v>11</v>
      </c>
      <c r="E403" s="4">
        <v>2.5</v>
      </c>
      <c r="F403" s="4">
        <f t="shared" si="18"/>
        <v>27.5</v>
      </c>
      <c r="G403" t="str">
        <f t="shared" si="19"/>
        <v>Thursday</v>
      </c>
      <c r="H403" t="str">
        <f t="shared" si="20"/>
        <v>May</v>
      </c>
    </row>
    <row r="404" spans="1:8" x14ac:dyDescent="0.35">
      <c r="A404" s="1">
        <v>46156</v>
      </c>
      <c r="B404" t="s">
        <v>15</v>
      </c>
      <c r="C404" t="s">
        <v>16</v>
      </c>
      <c r="D404">
        <v>4</v>
      </c>
      <c r="E404" s="4">
        <v>4.5</v>
      </c>
      <c r="F404" s="4">
        <f t="shared" si="18"/>
        <v>18</v>
      </c>
      <c r="G404" t="str">
        <f t="shared" si="19"/>
        <v>Thursday</v>
      </c>
      <c r="H404" t="str">
        <f t="shared" si="20"/>
        <v>May</v>
      </c>
    </row>
    <row r="405" spans="1:8" x14ac:dyDescent="0.35">
      <c r="A405" s="1">
        <v>46156</v>
      </c>
      <c r="B405" t="s">
        <v>10</v>
      </c>
      <c r="C405" t="s">
        <v>17</v>
      </c>
      <c r="D405">
        <v>3</v>
      </c>
      <c r="E405" s="4">
        <v>3.25</v>
      </c>
      <c r="F405" s="4">
        <f t="shared" si="18"/>
        <v>9.75</v>
      </c>
      <c r="G405" t="str">
        <f t="shared" si="19"/>
        <v>Thursday</v>
      </c>
      <c r="H405" t="str">
        <f t="shared" si="20"/>
        <v>May</v>
      </c>
    </row>
    <row r="406" spans="1:8" x14ac:dyDescent="0.35">
      <c r="A406" s="1">
        <v>46157</v>
      </c>
      <c r="B406" t="s">
        <v>14</v>
      </c>
      <c r="C406" t="s">
        <v>16</v>
      </c>
      <c r="D406">
        <v>5</v>
      </c>
      <c r="E406" s="4">
        <v>5.5</v>
      </c>
      <c r="F406" s="4">
        <f t="shared" si="18"/>
        <v>27.5</v>
      </c>
      <c r="G406" t="str">
        <f t="shared" si="19"/>
        <v>Friday</v>
      </c>
      <c r="H406" t="str">
        <f t="shared" si="20"/>
        <v>May</v>
      </c>
    </row>
    <row r="407" spans="1:8" x14ac:dyDescent="0.35">
      <c r="A407" s="1">
        <v>46157</v>
      </c>
      <c r="B407" t="s">
        <v>9</v>
      </c>
      <c r="C407" t="s">
        <v>17</v>
      </c>
      <c r="D407">
        <v>1</v>
      </c>
      <c r="E407" s="4">
        <v>3.75</v>
      </c>
      <c r="F407" s="4">
        <f t="shared" si="18"/>
        <v>3.75</v>
      </c>
      <c r="G407" t="str">
        <f t="shared" si="19"/>
        <v>Friday</v>
      </c>
      <c r="H407" t="str">
        <f t="shared" si="20"/>
        <v>May</v>
      </c>
    </row>
    <row r="408" spans="1:8" x14ac:dyDescent="0.35">
      <c r="A408" s="1">
        <v>46157</v>
      </c>
      <c r="B408" t="s">
        <v>11</v>
      </c>
      <c r="C408" t="s">
        <v>18</v>
      </c>
      <c r="D408">
        <v>2</v>
      </c>
      <c r="E408" s="4">
        <v>6.5</v>
      </c>
      <c r="F408" s="4">
        <f t="shared" si="18"/>
        <v>13</v>
      </c>
      <c r="G408" t="str">
        <f t="shared" si="19"/>
        <v>Friday</v>
      </c>
      <c r="H408" t="str">
        <f t="shared" si="20"/>
        <v>May</v>
      </c>
    </row>
    <row r="409" spans="1:8" x14ac:dyDescent="0.35">
      <c r="A409" s="1">
        <v>46158</v>
      </c>
      <c r="B409" t="s">
        <v>7</v>
      </c>
      <c r="C409" t="s">
        <v>16</v>
      </c>
      <c r="D409">
        <v>3</v>
      </c>
      <c r="E409" s="4">
        <v>3.5</v>
      </c>
      <c r="F409" s="4">
        <f t="shared" si="18"/>
        <v>10.5</v>
      </c>
      <c r="G409" t="str">
        <f t="shared" si="19"/>
        <v>Saturday</v>
      </c>
      <c r="H409" t="str">
        <f t="shared" si="20"/>
        <v>May</v>
      </c>
    </row>
    <row r="410" spans="1:8" x14ac:dyDescent="0.35">
      <c r="A410" s="1">
        <v>46158</v>
      </c>
      <c r="B410" t="s">
        <v>8</v>
      </c>
      <c r="C410" t="s">
        <v>16</v>
      </c>
      <c r="D410">
        <v>4</v>
      </c>
      <c r="E410" s="4">
        <v>4.25</v>
      </c>
      <c r="F410" s="4">
        <f t="shared" si="18"/>
        <v>17</v>
      </c>
      <c r="G410" t="str">
        <f t="shared" si="19"/>
        <v>Saturday</v>
      </c>
      <c r="H410" t="str">
        <f t="shared" si="20"/>
        <v>May</v>
      </c>
    </row>
    <row r="411" spans="1:8" x14ac:dyDescent="0.35">
      <c r="A411" s="1">
        <v>46158</v>
      </c>
      <c r="B411" t="s">
        <v>13</v>
      </c>
      <c r="C411" t="s">
        <v>16</v>
      </c>
      <c r="D411">
        <v>2</v>
      </c>
      <c r="E411" s="4">
        <v>4.75</v>
      </c>
      <c r="F411" s="4">
        <f t="shared" si="18"/>
        <v>9.5</v>
      </c>
      <c r="G411" t="str">
        <f t="shared" si="19"/>
        <v>Saturday</v>
      </c>
      <c r="H411" t="str">
        <f t="shared" si="20"/>
        <v>May</v>
      </c>
    </row>
    <row r="412" spans="1:8" x14ac:dyDescent="0.35">
      <c r="A412" s="1">
        <v>46159</v>
      </c>
      <c r="B412" t="s">
        <v>6</v>
      </c>
      <c r="C412" t="s">
        <v>16</v>
      </c>
      <c r="D412">
        <v>1</v>
      </c>
      <c r="E412" s="4">
        <v>4.5</v>
      </c>
      <c r="F412" s="4">
        <f t="shared" si="18"/>
        <v>4.5</v>
      </c>
      <c r="G412" t="str">
        <f t="shared" si="19"/>
        <v>Sunday</v>
      </c>
      <c r="H412" t="str">
        <f t="shared" si="20"/>
        <v>May</v>
      </c>
    </row>
    <row r="413" spans="1:8" x14ac:dyDescent="0.35">
      <c r="A413" s="1">
        <v>46159</v>
      </c>
      <c r="B413" t="s">
        <v>12</v>
      </c>
      <c r="C413" t="s">
        <v>17</v>
      </c>
      <c r="D413">
        <v>5</v>
      </c>
      <c r="E413" s="4">
        <v>2.5</v>
      </c>
      <c r="F413" s="4">
        <f t="shared" si="18"/>
        <v>12.5</v>
      </c>
      <c r="G413" t="str">
        <f t="shared" si="19"/>
        <v>Sunday</v>
      </c>
      <c r="H413" t="str">
        <f t="shared" si="20"/>
        <v>May</v>
      </c>
    </row>
    <row r="414" spans="1:8" x14ac:dyDescent="0.35">
      <c r="A414" s="1">
        <v>46159</v>
      </c>
      <c r="B414" t="s">
        <v>15</v>
      </c>
      <c r="C414" t="s">
        <v>16</v>
      </c>
      <c r="D414">
        <v>3</v>
      </c>
      <c r="E414" s="4">
        <v>4.5</v>
      </c>
      <c r="F414" s="4">
        <f t="shared" si="18"/>
        <v>13.5</v>
      </c>
      <c r="G414" t="str">
        <f t="shared" si="19"/>
        <v>Sunday</v>
      </c>
      <c r="H414" t="str">
        <f t="shared" si="20"/>
        <v>May</v>
      </c>
    </row>
    <row r="415" spans="1:8" x14ac:dyDescent="0.35">
      <c r="A415" s="1">
        <v>46160</v>
      </c>
      <c r="B415" t="s">
        <v>10</v>
      </c>
      <c r="C415" t="s">
        <v>17</v>
      </c>
      <c r="D415">
        <v>5</v>
      </c>
      <c r="E415" s="4">
        <v>3.25</v>
      </c>
      <c r="F415" s="4">
        <f t="shared" si="18"/>
        <v>16.25</v>
      </c>
      <c r="G415" t="str">
        <f t="shared" si="19"/>
        <v>Monday</v>
      </c>
      <c r="H415" t="str">
        <f t="shared" si="20"/>
        <v>May</v>
      </c>
    </row>
    <row r="416" spans="1:8" x14ac:dyDescent="0.35">
      <c r="A416" s="1">
        <v>46160</v>
      </c>
      <c r="B416" t="s">
        <v>14</v>
      </c>
      <c r="C416" t="s">
        <v>16</v>
      </c>
      <c r="D416">
        <v>2</v>
      </c>
      <c r="E416" s="4">
        <v>5.5</v>
      </c>
      <c r="F416" s="4">
        <f t="shared" si="18"/>
        <v>11</v>
      </c>
      <c r="G416" t="str">
        <f t="shared" si="19"/>
        <v>Monday</v>
      </c>
      <c r="H416" t="str">
        <f t="shared" si="20"/>
        <v>May</v>
      </c>
    </row>
    <row r="417" spans="1:8" x14ac:dyDescent="0.35">
      <c r="A417" s="1">
        <v>46160</v>
      </c>
      <c r="B417" t="s">
        <v>9</v>
      </c>
      <c r="C417" t="s">
        <v>17</v>
      </c>
      <c r="D417">
        <v>4</v>
      </c>
      <c r="E417" s="4">
        <v>3.75</v>
      </c>
      <c r="F417" s="4">
        <f t="shared" si="18"/>
        <v>15</v>
      </c>
      <c r="G417" t="str">
        <f t="shared" si="19"/>
        <v>Monday</v>
      </c>
      <c r="H417" t="str">
        <f t="shared" si="20"/>
        <v>May</v>
      </c>
    </row>
    <row r="418" spans="1:8" x14ac:dyDescent="0.35">
      <c r="A418" s="1">
        <v>46161</v>
      </c>
      <c r="B418" t="s">
        <v>11</v>
      </c>
      <c r="C418" t="s">
        <v>18</v>
      </c>
      <c r="D418">
        <v>1</v>
      </c>
      <c r="E418" s="4">
        <v>6.5</v>
      </c>
      <c r="F418" s="4">
        <f t="shared" si="18"/>
        <v>6.5</v>
      </c>
      <c r="G418" t="str">
        <f t="shared" si="19"/>
        <v>Tuesday</v>
      </c>
      <c r="H418" t="str">
        <f t="shared" si="20"/>
        <v>May</v>
      </c>
    </row>
    <row r="419" spans="1:8" x14ac:dyDescent="0.35">
      <c r="A419" s="1">
        <v>46161</v>
      </c>
      <c r="B419" t="s">
        <v>7</v>
      </c>
      <c r="C419" t="s">
        <v>16</v>
      </c>
      <c r="D419">
        <v>5</v>
      </c>
      <c r="E419" s="4">
        <v>3.5</v>
      </c>
      <c r="F419" s="4">
        <f t="shared" si="18"/>
        <v>17.5</v>
      </c>
      <c r="G419" t="str">
        <f t="shared" si="19"/>
        <v>Tuesday</v>
      </c>
      <c r="H419" t="str">
        <f t="shared" si="20"/>
        <v>May</v>
      </c>
    </row>
    <row r="420" spans="1:8" x14ac:dyDescent="0.35">
      <c r="A420" s="1">
        <v>46161</v>
      </c>
      <c r="B420" t="s">
        <v>8</v>
      </c>
      <c r="C420" t="s">
        <v>16</v>
      </c>
      <c r="D420">
        <v>2</v>
      </c>
      <c r="E420" s="4">
        <v>4.25</v>
      </c>
      <c r="F420" s="4">
        <f t="shared" si="18"/>
        <v>8.5</v>
      </c>
      <c r="G420" t="str">
        <f t="shared" si="19"/>
        <v>Tuesday</v>
      </c>
      <c r="H420" t="str">
        <f t="shared" si="20"/>
        <v>May</v>
      </c>
    </row>
    <row r="421" spans="1:8" x14ac:dyDescent="0.35">
      <c r="A421" s="1">
        <v>46162</v>
      </c>
      <c r="B421" t="s">
        <v>13</v>
      </c>
      <c r="C421" t="s">
        <v>16</v>
      </c>
      <c r="D421">
        <v>3</v>
      </c>
      <c r="E421" s="4">
        <v>4.75</v>
      </c>
      <c r="F421" s="4">
        <f t="shared" si="18"/>
        <v>14.25</v>
      </c>
      <c r="G421" t="str">
        <f t="shared" si="19"/>
        <v>Wednesday</v>
      </c>
      <c r="H421" t="str">
        <f t="shared" si="20"/>
        <v>May</v>
      </c>
    </row>
    <row r="422" spans="1:8" x14ac:dyDescent="0.35">
      <c r="A422" s="1">
        <v>46162</v>
      </c>
      <c r="B422" t="s">
        <v>6</v>
      </c>
      <c r="C422" t="s">
        <v>16</v>
      </c>
      <c r="D422">
        <v>2</v>
      </c>
      <c r="E422" s="4">
        <v>4.5</v>
      </c>
      <c r="F422" s="4">
        <f t="shared" si="18"/>
        <v>9</v>
      </c>
      <c r="G422" t="str">
        <f t="shared" si="19"/>
        <v>Wednesday</v>
      </c>
      <c r="H422" t="str">
        <f t="shared" si="20"/>
        <v>May</v>
      </c>
    </row>
    <row r="423" spans="1:8" x14ac:dyDescent="0.35">
      <c r="A423" s="1">
        <v>46162</v>
      </c>
      <c r="B423" t="s">
        <v>12</v>
      </c>
      <c r="C423" t="s">
        <v>17</v>
      </c>
      <c r="D423">
        <v>8</v>
      </c>
      <c r="E423" s="4">
        <v>2.5</v>
      </c>
      <c r="F423" s="4">
        <f t="shared" si="18"/>
        <v>20</v>
      </c>
      <c r="G423" t="str">
        <f t="shared" si="19"/>
        <v>Wednesday</v>
      </c>
      <c r="H423" t="str">
        <f t="shared" si="20"/>
        <v>May</v>
      </c>
    </row>
    <row r="424" spans="1:8" x14ac:dyDescent="0.35">
      <c r="A424" s="1">
        <v>46163</v>
      </c>
      <c r="B424" t="s">
        <v>15</v>
      </c>
      <c r="C424" t="s">
        <v>16</v>
      </c>
      <c r="D424">
        <v>2</v>
      </c>
      <c r="E424" s="4">
        <v>4.5</v>
      </c>
      <c r="F424" s="4">
        <f t="shared" si="18"/>
        <v>9</v>
      </c>
      <c r="G424" t="str">
        <f t="shared" si="19"/>
        <v>Thursday</v>
      </c>
      <c r="H424" t="str">
        <f t="shared" si="20"/>
        <v>May</v>
      </c>
    </row>
    <row r="425" spans="1:8" x14ac:dyDescent="0.35">
      <c r="A425" s="1">
        <v>46163</v>
      </c>
      <c r="B425" t="s">
        <v>10</v>
      </c>
      <c r="C425" t="s">
        <v>17</v>
      </c>
      <c r="D425">
        <v>4</v>
      </c>
      <c r="E425" s="4">
        <v>3.25</v>
      </c>
      <c r="F425" s="4">
        <f t="shared" si="18"/>
        <v>13</v>
      </c>
      <c r="G425" t="str">
        <f t="shared" si="19"/>
        <v>Thursday</v>
      </c>
      <c r="H425" t="str">
        <f t="shared" si="20"/>
        <v>May</v>
      </c>
    </row>
    <row r="426" spans="1:8" x14ac:dyDescent="0.35">
      <c r="A426" s="1">
        <v>46163</v>
      </c>
      <c r="B426" t="s">
        <v>14</v>
      </c>
      <c r="C426" t="s">
        <v>16</v>
      </c>
      <c r="D426">
        <v>4</v>
      </c>
      <c r="E426" s="4">
        <v>5.5</v>
      </c>
      <c r="F426" s="4">
        <f t="shared" si="18"/>
        <v>22</v>
      </c>
      <c r="G426" t="str">
        <f t="shared" si="19"/>
        <v>Thursday</v>
      </c>
      <c r="H426" t="str">
        <f t="shared" si="20"/>
        <v>May</v>
      </c>
    </row>
    <row r="427" spans="1:8" x14ac:dyDescent="0.35">
      <c r="A427" s="1">
        <v>46164</v>
      </c>
      <c r="B427" t="s">
        <v>9</v>
      </c>
      <c r="C427" t="s">
        <v>17</v>
      </c>
      <c r="D427">
        <v>6</v>
      </c>
      <c r="E427" s="4">
        <v>3.75</v>
      </c>
      <c r="F427" s="4">
        <f t="shared" si="18"/>
        <v>22.5</v>
      </c>
      <c r="G427" t="str">
        <f t="shared" si="19"/>
        <v>Friday</v>
      </c>
      <c r="H427" t="str">
        <f t="shared" si="20"/>
        <v>May</v>
      </c>
    </row>
    <row r="428" spans="1:8" x14ac:dyDescent="0.35">
      <c r="A428" s="1">
        <v>46164</v>
      </c>
      <c r="B428" t="s">
        <v>11</v>
      </c>
      <c r="C428" t="s">
        <v>18</v>
      </c>
      <c r="D428">
        <v>3</v>
      </c>
      <c r="E428" s="4">
        <v>6.5</v>
      </c>
      <c r="F428" s="4">
        <f t="shared" si="18"/>
        <v>19.5</v>
      </c>
      <c r="G428" t="str">
        <f t="shared" si="19"/>
        <v>Friday</v>
      </c>
      <c r="H428" t="str">
        <f t="shared" si="20"/>
        <v>May</v>
      </c>
    </row>
    <row r="429" spans="1:8" x14ac:dyDescent="0.35">
      <c r="A429" s="1">
        <v>46164</v>
      </c>
      <c r="B429" t="s">
        <v>7</v>
      </c>
      <c r="C429" t="s">
        <v>16</v>
      </c>
      <c r="D429">
        <v>2</v>
      </c>
      <c r="E429" s="4">
        <v>3.5</v>
      </c>
      <c r="F429" s="4">
        <f t="shared" si="18"/>
        <v>7</v>
      </c>
      <c r="G429" t="str">
        <f t="shared" si="19"/>
        <v>Friday</v>
      </c>
      <c r="H429" t="str">
        <f t="shared" si="20"/>
        <v>May</v>
      </c>
    </row>
    <row r="430" spans="1:8" x14ac:dyDescent="0.35">
      <c r="A430" s="1">
        <v>46165</v>
      </c>
      <c r="B430" t="s">
        <v>8</v>
      </c>
      <c r="C430" t="s">
        <v>16</v>
      </c>
      <c r="D430">
        <v>1</v>
      </c>
      <c r="E430" s="4">
        <v>4.25</v>
      </c>
      <c r="F430" s="4">
        <f t="shared" si="18"/>
        <v>4.25</v>
      </c>
      <c r="G430" t="str">
        <f t="shared" si="19"/>
        <v>Saturday</v>
      </c>
      <c r="H430" t="str">
        <f t="shared" si="20"/>
        <v>May</v>
      </c>
    </row>
    <row r="431" spans="1:8" x14ac:dyDescent="0.35">
      <c r="A431" s="1">
        <v>46165</v>
      </c>
      <c r="B431" t="s">
        <v>13</v>
      </c>
      <c r="C431" t="s">
        <v>16</v>
      </c>
      <c r="D431">
        <v>5</v>
      </c>
      <c r="E431" s="4">
        <v>4.75</v>
      </c>
      <c r="F431" s="4">
        <f t="shared" si="18"/>
        <v>23.75</v>
      </c>
      <c r="G431" t="str">
        <f t="shared" si="19"/>
        <v>Saturday</v>
      </c>
      <c r="H431" t="str">
        <f t="shared" si="20"/>
        <v>May</v>
      </c>
    </row>
    <row r="432" spans="1:8" x14ac:dyDescent="0.35">
      <c r="A432" s="1">
        <v>46165</v>
      </c>
      <c r="B432" t="s">
        <v>6</v>
      </c>
      <c r="C432" t="s">
        <v>16</v>
      </c>
      <c r="D432">
        <v>3</v>
      </c>
      <c r="E432" s="4">
        <v>4.5</v>
      </c>
      <c r="F432" s="4">
        <f t="shared" si="18"/>
        <v>13.5</v>
      </c>
      <c r="G432" t="str">
        <f t="shared" si="19"/>
        <v>Saturday</v>
      </c>
      <c r="H432" t="str">
        <f t="shared" si="20"/>
        <v>May</v>
      </c>
    </row>
    <row r="433" spans="1:8" x14ac:dyDescent="0.35">
      <c r="A433" s="1">
        <v>46166</v>
      </c>
      <c r="B433" t="s">
        <v>12</v>
      </c>
      <c r="C433" t="s">
        <v>17</v>
      </c>
      <c r="D433">
        <v>10</v>
      </c>
      <c r="E433" s="4">
        <v>2.5</v>
      </c>
      <c r="F433" s="4">
        <f t="shared" si="18"/>
        <v>25</v>
      </c>
      <c r="G433" t="str">
        <f t="shared" si="19"/>
        <v>Sunday</v>
      </c>
      <c r="H433" t="str">
        <f t="shared" si="20"/>
        <v>May</v>
      </c>
    </row>
    <row r="434" spans="1:8" x14ac:dyDescent="0.35">
      <c r="A434" s="1">
        <v>46166</v>
      </c>
      <c r="B434" t="s">
        <v>15</v>
      </c>
      <c r="C434" t="s">
        <v>16</v>
      </c>
      <c r="D434">
        <v>4</v>
      </c>
      <c r="E434" s="4">
        <v>4.5</v>
      </c>
      <c r="F434" s="4">
        <f t="shared" si="18"/>
        <v>18</v>
      </c>
      <c r="G434" t="str">
        <f t="shared" si="19"/>
        <v>Sunday</v>
      </c>
      <c r="H434" t="str">
        <f t="shared" si="20"/>
        <v>May</v>
      </c>
    </row>
    <row r="435" spans="1:8" x14ac:dyDescent="0.35">
      <c r="A435" s="1">
        <v>46166</v>
      </c>
      <c r="B435" t="s">
        <v>10</v>
      </c>
      <c r="C435" t="s">
        <v>17</v>
      </c>
      <c r="D435">
        <v>1</v>
      </c>
      <c r="E435" s="4">
        <v>3.25</v>
      </c>
      <c r="F435" s="4">
        <f t="shared" si="18"/>
        <v>3.25</v>
      </c>
      <c r="G435" t="str">
        <f t="shared" si="19"/>
        <v>Sunday</v>
      </c>
      <c r="H435" t="str">
        <f t="shared" si="20"/>
        <v>May</v>
      </c>
    </row>
    <row r="436" spans="1:8" x14ac:dyDescent="0.35">
      <c r="A436" s="1">
        <v>46167</v>
      </c>
      <c r="B436" t="s">
        <v>14</v>
      </c>
      <c r="C436" t="s">
        <v>16</v>
      </c>
      <c r="D436">
        <v>3</v>
      </c>
      <c r="E436" s="4">
        <v>5.5</v>
      </c>
      <c r="F436" s="4">
        <f t="shared" si="18"/>
        <v>16.5</v>
      </c>
      <c r="G436" t="str">
        <f t="shared" si="19"/>
        <v>Monday</v>
      </c>
      <c r="H436" t="str">
        <f t="shared" si="20"/>
        <v>May</v>
      </c>
    </row>
    <row r="437" spans="1:8" x14ac:dyDescent="0.35">
      <c r="A437" s="1">
        <v>46167</v>
      </c>
      <c r="B437" t="s">
        <v>9</v>
      </c>
      <c r="C437" t="s">
        <v>17</v>
      </c>
      <c r="D437">
        <v>2</v>
      </c>
      <c r="E437" s="4">
        <v>3.75</v>
      </c>
      <c r="F437" s="4">
        <f t="shared" si="18"/>
        <v>7.5</v>
      </c>
      <c r="G437" t="str">
        <f t="shared" si="19"/>
        <v>Monday</v>
      </c>
      <c r="H437" t="str">
        <f t="shared" si="20"/>
        <v>May</v>
      </c>
    </row>
    <row r="438" spans="1:8" x14ac:dyDescent="0.35">
      <c r="A438" s="1">
        <v>46167</v>
      </c>
      <c r="B438" t="s">
        <v>11</v>
      </c>
      <c r="C438" t="s">
        <v>18</v>
      </c>
      <c r="D438">
        <v>4</v>
      </c>
      <c r="E438" s="4">
        <v>6.5</v>
      </c>
      <c r="F438" s="4">
        <f t="shared" si="18"/>
        <v>26</v>
      </c>
      <c r="G438" t="str">
        <f t="shared" si="19"/>
        <v>Monday</v>
      </c>
      <c r="H438" t="str">
        <f t="shared" si="20"/>
        <v>May</v>
      </c>
    </row>
    <row r="439" spans="1:8" x14ac:dyDescent="0.35">
      <c r="A439" s="1">
        <v>46168</v>
      </c>
      <c r="B439" t="s">
        <v>7</v>
      </c>
      <c r="C439" t="s">
        <v>16</v>
      </c>
      <c r="D439">
        <v>4</v>
      </c>
      <c r="E439" s="4">
        <v>3.5</v>
      </c>
      <c r="F439" s="4">
        <f t="shared" si="18"/>
        <v>14</v>
      </c>
      <c r="G439" t="str">
        <f t="shared" si="19"/>
        <v>Tuesday</v>
      </c>
      <c r="H439" t="str">
        <f t="shared" si="20"/>
        <v>May</v>
      </c>
    </row>
    <row r="440" spans="1:8" x14ac:dyDescent="0.35">
      <c r="A440" s="1">
        <v>46168</v>
      </c>
      <c r="B440" t="s">
        <v>8</v>
      </c>
      <c r="C440" t="s">
        <v>16</v>
      </c>
      <c r="D440">
        <v>3</v>
      </c>
      <c r="E440" s="4">
        <v>4.25</v>
      </c>
      <c r="F440" s="4">
        <f t="shared" si="18"/>
        <v>12.75</v>
      </c>
      <c r="G440" t="str">
        <f t="shared" si="19"/>
        <v>Tuesday</v>
      </c>
      <c r="H440" t="str">
        <f t="shared" si="20"/>
        <v>May</v>
      </c>
    </row>
    <row r="441" spans="1:8" x14ac:dyDescent="0.35">
      <c r="A441" s="1">
        <v>46168</v>
      </c>
      <c r="B441" t="s">
        <v>13</v>
      </c>
      <c r="C441" t="s">
        <v>16</v>
      </c>
      <c r="D441">
        <v>1</v>
      </c>
      <c r="E441" s="4">
        <v>4.75</v>
      </c>
      <c r="F441" s="4">
        <f t="shared" si="18"/>
        <v>4.75</v>
      </c>
      <c r="G441" t="str">
        <f t="shared" si="19"/>
        <v>Tuesday</v>
      </c>
      <c r="H441" t="str">
        <f t="shared" si="20"/>
        <v>May</v>
      </c>
    </row>
    <row r="442" spans="1:8" x14ac:dyDescent="0.35">
      <c r="A442" s="1">
        <v>46169</v>
      </c>
      <c r="B442" t="s">
        <v>6</v>
      </c>
      <c r="C442" t="s">
        <v>16</v>
      </c>
      <c r="D442">
        <v>5</v>
      </c>
      <c r="E442" s="4">
        <v>4.5</v>
      </c>
      <c r="F442" s="4">
        <f t="shared" si="18"/>
        <v>22.5</v>
      </c>
      <c r="G442" t="str">
        <f t="shared" si="19"/>
        <v>Wednesday</v>
      </c>
      <c r="H442" t="str">
        <f t="shared" si="20"/>
        <v>May</v>
      </c>
    </row>
    <row r="443" spans="1:8" x14ac:dyDescent="0.35">
      <c r="A443" s="1">
        <v>46169</v>
      </c>
      <c r="B443" t="s">
        <v>12</v>
      </c>
      <c r="C443" t="s">
        <v>17</v>
      </c>
      <c r="D443">
        <v>6</v>
      </c>
      <c r="E443" s="4">
        <v>2.5</v>
      </c>
      <c r="F443" s="4">
        <f t="shared" si="18"/>
        <v>15</v>
      </c>
      <c r="G443" t="str">
        <f t="shared" si="19"/>
        <v>Wednesday</v>
      </c>
      <c r="H443" t="str">
        <f t="shared" si="20"/>
        <v>May</v>
      </c>
    </row>
    <row r="444" spans="1:8" x14ac:dyDescent="0.35">
      <c r="A444" s="1">
        <v>46169</v>
      </c>
      <c r="B444" t="s">
        <v>15</v>
      </c>
      <c r="C444" t="s">
        <v>16</v>
      </c>
      <c r="D444">
        <v>1</v>
      </c>
      <c r="E444" s="4">
        <v>4.5</v>
      </c>
      <c r="F444" s="4">
        <f t="shared" si="18"/>
        <v>4.5</v>
      </c>
      <c r="G444" t="str">
        <f t="shared" si="19"/>
        <v>Wednesday</v>
      </c>
      <c r="H444" t="str">
        <f t="shared" si="20"/>
        <v>May</v>
      </c>
    </row>
    <row r="445" spans="1:8" x14ac:dyDescent="0.35">
      <c r="A445" s="1">
        <v>46170</v>
      </c>
      <c r="B445" t="s">
        <v>10</v>
      </c>
      <c r="C445" t="s">
        <v>17</v>
      </c>
      <c r="D445">
        <v>2</v>
      </c>
      <c r="E445" s="4">
        <v>3.25</v>
      </c>
      <c r="F445" s="4">
        <f t="shared" si="18"/>
        <v>6.5</v>
      </c>
      <c r="G445" t="str">
        <f t="shared" si="19"/>
        <v>Thursday</v>
      </c>
      <c r="H445" t="str">
        <f t="shared" si="20"/>
        <v>May</v>
      </c>
    </row>
    <row r="446" spans="1:8" x14ac:dyDescent="0.35">
      <c r="A446" s="1">
        <v>46170</v>
      </c>
      <c r="B446" t="s">
        <v>14</v>
      </c>
      <c r="C446" t="s">
        <v>16</v>
      </c>
      <c r="D446">
        <v>5</v>
      </c>
      <c r="E446" s="4">
        <v>5.5</v>
      </c>
      <c r="F446" s="4">
        <f t="shared" si="18"/>
        <v>27.5</v>
      </c>
      <c r="G446" t="str">
        <f t="shared" si="19"/>
        <v>Thursday</v>
      </c>
      <c r="H446" t="str">
        <f t="shared" si="20"/>
        <v>May</v>
      </c>
    </row>
    <row r="447" spans="1:8" x14ac:dyDescent="0.35">
      <c r="A447" s="1">
        <v>46170</v>
      </c>
      <c r="B447" t="s">
        <v>9</v>
      </c>
      <c r="C447" t="s">
        <v>17</v>
      </c>
      <c r="D447">
        <v>3</v>
      </c>
      <c r="E447" s="4">
        <v>3.75</v>
      </c>
      <c r="F447" s="4">
        <f t="shared" si="18"/>
        <v>11.25</v>
      </c>
      <c r="G447" t="str">
        <f t="shared" si="19"/>
        <v>Thursday</v>
      </c>
      <c r="H447" t="str">
        <f t="shared" si="20"/>
        <v>May</v>
      </c>
    </row>
    <row r="448" spans="1:8" x14ac:dyDescent="0.35">
      <c r="A448" s="1">
        <v>46171</v>
      </c>
      <c r="B448" t="s">
        <v>11</v>
      </c>
      <c r="C448" t="s">
        <v>18</v>
      </c>
      <c r="D448">
        <v>5</v>
      </c>
      <c r="E448" s="4">
        <v>6.5</v>
      </c>
      <c r="F448" s="4">
        <f t="shared" si="18"/>
        <v>32.5</v>
      </c>
      <c r="G448" t="str">
        <f t="shared" si="19"/>
        <v>Friday</v>
      </c>
      <c r="H448" t="str">
        <f t="shared" si="20"/>
        <v>May</v>
      </c>
    </row>
    <row r="449" spans="1:8" x14ac:dyDescent="0.35">
      <c r="A449" s="1">
        <v>46171</v>
      </c>
      <c r="B449" t="s">
        <v>7</v>
      </c>
      <c r="C449" t="s">
        <v>16</v>
      </c>
      <c r="D449">
        <v>1</v>
      </c>
      <c r="E449" s="4">
        <v>3.5</v>
      </c>
      <c r="F449" s="4">
        <f t="shared" si="18"/>
        <v>3.5</v>
      </c>
      <c r="G449" t="str">
        <f t="shared" si="19"/>
        <v>Friday</v>
      </c>
      <c r="H449" t="str">
        <f t="shared" si="20"/>
        <v>May</v>
      </c>
    </row>
    <row r="450" spans="1:8" x14ac:dyDescent="0.35">
      <c r="A450" s="1">
        <v>46171</v>
      </c>
      <c r="B450" t="s">
        <v>8</v>
      </c>
      <c r="C450" t="s">
        <v>16</v>
      </c>
      <c r="D450">
        <v>2</v>
      </c>
      <c r="E450" s="4">
        <v>4.25</v>
      </c>
      <c r="F450" s="4">
        <f t="shared" si="18"/>
        <v>8.5</v>
      </c>
      <c r="G450" t="str">
        <f t="shared" si="19"/>
        <v>Friday</v>
      </c>
      <c r="H450" t="str">
        <f t="shared" si="20"/>
        <v>May</v>
      </c>
    </row>
    <row r="451" spans="1:8" x14ac:dyDescent="0.35">
      <c r="A451" s="1">
        <v>46172</v>
      </c>
      <c r="B451" t="s">
        <v>13</v>
      </c>
      <c r="C451" t="s">
        <v>16</v>
      </c>
      <c r="D451">
        <v>4</v>
      </c>
      <c r="E451" s="4">
        <v>4.75</v>
      </c>
      <c r="F451" s="4">
        <f t="shared" si="18"/>
        <v>19</v>
      </c>
      <c r="G451" t="str">
        <f t="shared" si="19"/>
        <v>Saturday</v>
      </c>
      <c r="H451" t="str">
        <f t="shared" si="20"/>
        <v>May</v>
      </c>
    </row>
    <row r="452" spans="1:8" x14ac:dyDescent="0.35">
      <c r="A452" s="1">
        <v>46172</v>
      </c>
      <c r="B452" t="s">
        <v>6</v>
      </c>
      <c r="C452" t="s">
        <v>16</v>
      </c>
      <c r="D452">
        <v>4</v>
      </c>
      <c r="E452" s="4">
        <v>4.5</v>
      </c>
      <c r="F452" s="4">
        <f t="shared" si="18"/>
        <v>18</v>
      </c>
      <c r="G452" t="str">
        <f t="shared" si="19"/>
        <v>Saturday</v>
      </c>
      <c r="H452" t="str">
        <f t="shared" si="20"/>
        <v>May</v>
      </c>
    </row>
    <row r="453" spans="1:8" x14ac:dyDescent="0.35">
      <c r="A453" s="1">
        <v>46172</v>
      </c>
      <c r="B453" t="s">
        <v>12</v>
      </c>
      <c r="C453" t="s">
        <v>17</v>
      </c>
      <c r="D453">
        <v>12</v>
      </c>
      <c r="E453" s="4">
        <v>2.5</v>
      </c>
      <c r="F453" s="4">
        <f t="shared" ref="F453:F480" si="21">D453*E453</f>
        <v>30</v>
      </c>
      <c r="G453" t="str">
        <f t="shared" ref="G453:G516" si="22">TEXT(A453,"dddd")</f>
        <v>Saturday</v>
      </c>
      <c r="H453" t="str">
        <f t="shared" ref="H453:H516" si="23">TEXT(A453,"mmmm")</f>
        <v>May</v>
      </c>
    </row>
    <row r="454" spans="1:8" x14ac:dyDescent="0.35">
      <c r="A454" s="1">
        <v>46173</v>
      </c>
      <c r="B454" t="s">
        <v>15</v>
      </c>
      <c r="C454" t="s">
        <v>16</v>
      </c>
      <c r="D454">
        <v>5</v>
      </c>
      <c r="E454" s="4">
        <v>4.5</v>
      </c>
      <c r="F454" s="4">
        <f t="shared" si="21"/>
        <v>22.5</v>
      </c>
      <c r="G454" t="str">
        <f t="shared" si="22"/>
        <v>Sunday</v>
      </c>
      <c r="H454" t="str">
        <f t="shared" si="23"/>
        <v>May</v>
      </c>
    </row>
    <row r="455" spans="1:8" x14ac:dyDescent="0.35">
      <c r="A455" s="1">
        <v>46173</v>
      </c>
      <c r="B455" t="s">
        <v>10</v>
      </c>
      <c r="C455" t="s">
        <v>17</v>
      </c>
      <c r="D455">
        <v>3</v>
      </c>
      <c r="E455" s="4">
        <v>3.25</v>
      </c>
      <c r="F455" s="4">
        <f t="shared" si="21"/>
        <v>9.75</v>
      </c>
      <c r="G455" t="str">
        <f t="shared" si="22"/>
        <v>Sunday</v>
      </c>
      <c r="H455" t="str">
        <f t="shared" si="23"/>
        <v>May</v>
      </c>
    </row>
    <row r="456" spans="1:8" x14ac:dyDescent="0.35">
      <c r="A456" s="1">
        <v>46173</v>
      </c>
      <c r="B456" t="s">
        <v>14</v>
      </c>
      <c r="C456" t="s">
        <v>16</v>
      </c>
      <c r="D456">
        <v>1</v>
      </c>
      <c r="E456" s="4">
        <v>5.5</v>
      </c>
      <c r="F456" s="4">
        <f t="shared" si="21"/>
        <v>5.5</v>
      </c>
      <c r="G456" t="str">
        <f t="shared" si="22"/>
        <v>Sunday</v>
      </c>
      <c r="H456" t="str">
        <f t="shared" si="23"/>
        <v>May</v>
      </c>
    </row>
    <row r="457" spans="1:8" x14ac:dyDescent="0.35">
      <c r="A457" s="1">
        <v>46174</v>
      </c>
      <c r="B457" t="s">
        <v>9</v>
      </c>
      <c r="C457" t="s">
        <v>17</v>
      </c>
      <c r="D457">
        <v>4</v>
      </c>
      <c r="E457" s="4">
        <v>3.75</v>
      </c>
      <c r="F457" s="4">
        <f t="shared" si="21"/>
        <v>15</v>
      </c>
      <c r="G457" t="str">
        <f t="shared" si="22"/>
        <v>Monday</v>
      </c>
      <c r="H457" t="str">
        <f t="shared" si="23"/>
        <v>June</v>
      </c>
    </row>
    <row r="458" spans="1:8" x14ac:dyDescent="0.35">
      <c r="A458" s="1">
        <v>46174</v>
      </c>
      <c r="B458" t="s">
        <v>11</v>
      </c>
      <c r="C458" t="s">
        <v>18</v>
      </c>
      <c r="D458">
        <v>2</v>
      </c>
      <c r="E458" s="4">
        <v>6.5</v>
      </c>
      <c r="F458" s="4">
        <f t="shared" si="21"/>
        <v>13</v>
      </c>
      <c r="G458" t="str">
        <f t="shared" si="22"/>
        <v>Monday</v>
      </c>
      <c r="H458" t="str">
        <f t="shared" si="23"/>
        <v>June</v>
      </c>
    </row>
    <row r="459" spans="1:8" x14ac:dyDescent="0.35">
      <c r="A459" s="1">
        <v>46174</v>
      </c>
      <c r="B459" t="s">
        <v>7</v>
      </c>
      <c r="C459" t="s">
        <v>16</v>
      </c>
      <c r="D459">
        <v>3</v>
      </c>
      <c r="E459" s="4">
        <v>3.5</v>
      </c>
      <c r="F459" s="4">
        <f t="shared" si="21"/>
        <v>10.5</v>
      </c>
      <c r="G459" t="str">
        <f t="shared" si="22"/>
        <v>Monday</v>
      </c>
      <c r="H459" t="str">
        <f t="shared" si="23"/>
        <v>June</v>
      </c>
    </row>
    <row r="460" spans="1:8" x14ac:dyDescent="0.35">
      <c r="A460" s="1">
        <v>46175</v>
      </c>
      <c r="B460" t="s">
        <v>8</v>
      </c>
      <c r="C460" t="s">
        <v>16</v>
      </c>
      <c r="D460">
        <v>5</v>
      </c>
      <c r="E460" s="4">
        <v>4.25</v>
      </c>
      <c r="F460" s="4">
        <f t="shared" si="21"/>
        <v>21.25</v>
      </c>
      <c r="G460" t="str">
        <f t="shared" si="22"/>
        <v>Tuesday</v>
      </c>
      <c r="H460" t="str">
        <f t="shared" si="23"/>
        <v>June</v>
      </c>
    </row>
    <row r="461" spans="1:8" x14ac:dyDescent="0.35">
      <c r="A461" s="1">
        <v>46175</v>
      </c>
      <c r="B461" t="s">
        <v>13</v>
      </c>
      <c r="C461" t="s">
        <v>16</v>
      </c>
      <c r="D461">
        <v>2</v>
      </c>
      <c r="E461" s="4">
        <v>4.75</v>
      </c>
      <c r="F461" s="4">
        <f t="shared" si="21"/>
        <v>9.5</v>
      </c>
      <c r="G461" t="str">
        <f t="shared" si="22"/>
        <v>Tuesday</v>
      </c>
      <c r="H461" t="str">
        <f t="shared" si="23"/>
        <v>June</v>
      </c>
    </row>
    <row r="462" spans="1:8" x14ac:dyDescent="0.35">
      <c r="A462" s="1">
        <v>46175</v>
      </c>
      <c r="B462" t="s">
        <v>6</v>
      </c>
      <c r="C462" t="s">
        <v>16</v>
      </c>
      <c r="D462">
        <v>1</v>
      </c>
      <c r="E462" s="4">
        <v>4.5</v>
      </c>
      <c r="F462" s="4">
        <f t="shared" si="21"/>
        <v>4.5</v>
      </c>
      <c r="G462" t="str">
        <f t="shared" si="22"/>
        <v>Tuesday</v>
      </c>
      <c r="H462" t="str">
        <f t="shared" si="23"/>
        <v>June</v>
      </c>
    </row>
    <row r="463" spans="1:8" x14ac:dyDescent="0.35">
      <c r="A463" s="1">
        <v>46176</v>
      </c>
      <c r="B463" t="s">
        <v>12</v>
      </c>
      <c r="C463" t="s">
        <v>17</v>
      </c>
      <c r="D463">
        <v>7</v>
      </c>
      <c r="E463" s="4">
        <v>2.5</v>
      </c>
      <c r="F463" s="4">
        <f t="shared" si="21"/>
        <v>17.5</v>
      </c>
      <c r="G463" t="str">
        <f t="shared" si="22"/>
        <v>Wednesday</v>
      </c>
      <c r="H463" t="str">
        <f t="shared" si="23"/>
        <v>June</v>
      </c>
    </row>
    <row r="464" spans="1:8" x14ac:dyDescent="0.35">
      <c r="A464" s="1">
        <v>46176</v>
      </c>
      <c r="B464" t="s">
        <v>15</v>
      </c>
      <c r="C464" t="s">
        <v>16</v>
      </c>
      <c r="D464">
        <v>2</v>
      </c>
      <c r="E464" s="4">
        <v>4.5</v>
      </c>
      <c r="F464" s="4">
        <f t="shared" si="21"/>
        <v>9</v>
      </c>
      <c r="G464" t="str">
        <f t="shared" si="22"/>
        <v>Wednesday</v>
      </c>
      <c r="H464" t="str">
        <f t="shared" si="23"/>
        <v>June</v>
      </c>
    </row>
    <row r="465" spans="1:8" x14ac:dyDescent="0.35">
      <c r="A465" s="1">
        <v>46176</v>
      </c>
      <c r="B465" t="s">
        <v>10</v>
      </c>
      <c r="C465" t="s">
        <v>17</v>
      </c>
      <c r="D465">
        <v>4</v>
      </c>
      <c r="E465" s="4">
        <v>3.25</v>
      </c>
      <c r="F465" s="4">
        <f t="shared" si="21"/>
        <v>13</v>
      </c>
      <c r="G465" t="str">
        <f t="shared" si="22"/>
        <v>Wednesday</v>
      </c>
      <c r="H465" t="str">
        <f t="shared" si="23"/>
        <v>June</v>
      </c>
    </row>
    <row r="466" spans="1:8" x14ac:dyDescent="0.35">
      <c r="A466" s="1">
        <v>46177</v>
      </c>
      <c r="B466" t="s">
        <v>14</v>
      </c>
      <c r="C466" t="s">
        <v>16</v>
      </c>
      <c r="D466">
        <v>4</v>
      </c>
      <c r="E466" s="4">
        <v>5.5</v>
      </c>
      <c r="F466" s="4">
        <f t="shared" si="21"/>
        <v>22</v>
      </c>
      <c r="G466" t="str">
        <f t="shared" si="22"/>
        <v>Thursday</v>
      </c>
      <c r="H466" t="str">
        <f t="shared" si="23"/>
        <v>June</v>
      </c>
    </row>
    <row r="467" spans="1:8" x14ac:dyDescent="0.35">
      <c r="A467" s="1">
        <v>46177</v>
      </c>
      <c r="B467" t="s">
        <v>9</v>
      </c>
      <c r="C467" t="s">
        <v>17</v>
      </c>
      <c r="D467">
        <v>2</v>
      </c>
      <c r="E467" s="4">
        <v>3.75</v>
      </c>
      <c r="F467" s="4">
        <f t="shared" si="21"/>
        <v>7.5</v>
      </c>
      <c r="G467" t="str">
        <f t="shared" si="22"/>
        <v>Thursday</v>
      </c>
      <c r="H467" t="str">
        <f t="shared" si="23"/>
        <v>June</v>
      </c>
    </row>
    <row r="468" spans="1:8" x14ac:dyDescent="0.35">
      <c r="A468" s="1">
        <v>46177</v>
      </c>
      <c r="B468" t="s">
        <v>11</v>
      </c>
      <c r="C468" t="s">
        <v>18</v>
      </c>
      <c r="D468">
        <v>3</v>
      </c>
      <c r="E468" s="4">
        <v>6.5</v>
      </c>
      <c r="F468" s="4">
        <f t="shared" si="21"/>
        <v>19.5</v>
      </c>
      <c r="G468" t="str">
        <f t="shared" si="22"/>
        <v>Thursday</v>
      </c>
      <c r="H468" t="str">
        <f t="shared" si="23"/>
        <v>June</v>
      </c>
    </row>
    <row r="469" spans="1:8" x14ac:dyDescent="0.35">
      <c r="A469" s="1">
        <v>46178</v>
      </c>
      <c r="B469" t="s">
        <v>7</v>
      </c>
      <c r="C469" t="s">
        <v>16</v>
      </c>
      <c r="D469">
        <v>5</v>
      </c>
      <c r="E469" s="4">
        <v>3.5</v>
      </c>
      <c r="F469" s="4">
        <f t="shared" si="21"/>
        <v>17.5</v>
      </c>
      <c r="G469" t="str">
        <f t="shared" si="22"/>
        <v>Friday</v>
      </c>
      <c r="H469" t="str">
        <f t="shared" si="23"/>
        <v>June</v>
      </c>
    </row>
    <row r="470" spans="1:8" x14ac:dyDescent="0.35">
      <c r="A470" s="1">
        <v>46178</v>
      </c>
      <c r="B470" t="s">
        <v>8</v>
      </c>
      <c r="C470" t="s">
        <v>16</v>
      </c>
      <c r="D470">
        <v>1</v>
      </c>
      <c r="E470" s="4">
        <v>4.25</v>
      </c>
      <c r="F470" s="4">
        <f t="shared" si="21"/>
        <v>4.25</v>
      </c>
      <c r="G470" t="str">
        <f t="shared" si="22"/>
        <v>Friday</v>
      </c>
      <c r="H470" t="str">
        <f t="shared" si="23"/>
        <v>June</v>
      </c>
    </row>
    <row r="471" spans="1:8" x14ac:dyDescent="0.35">
      <c r="A471" s="1">
        <v>46178</v>
      </c>
      <c r="B471" t="s">
        <v>13</v>
      </c>
      <c r="C471" t="s">
        <v>16</v>
      </c>
      <c r="D471">
        <v>3</v>
      </c>
      <c r="E471" s="4">
        <v>4.75</v>
      </c>
      <c r="F471" s="4">
        <f t="shared" si="21"/>
        <v>14.25</v>
      </c>
      <c r="G471" t="str">
        <f t="shared" si="22"/>
        <v>Friday</v>
      </c>
      <c r="H471" t="str">
        <f t="shared" si="23"/>
        <v>June</v>
      </c>
    </row>
    <row r="472" spans="1:8" x14ac:dyDescent="0.35">
      <c r="A472" s="1">
        <v>46179</v>
      </c>
      <c r="B472" t="s">
        <v>6</v>
      </c>
      <c r="C472" t="s">
        <v>16</v>
      </c>
      <c r="D472">
        <v>3</v>
      </c>
      <c r="E472" s="4">
        <v>4.5</v>
      </c>
      <c r="F472" s="4">
        <f t="shared" si="21"/>
        <v>13.5</v>
      </c>
      <c r="G472" t="str">
        <f t="shared" si="22"/>
        <v>Saturday</v>
      </c>
      <c r="H472" t="str">
        <f t="shared" si="23"/>
        <v>June</v>
      </c>
    </row>
    <row r="473" spans="1:8" x14ac:dyDescent="0.35">
      <c r="A473" s="1">
        <v>46179</v>
      </c>
      <c r="B473" t="s">
        <v>12</v>
      </c>
      <c r="C473" t="s">
        <v>17</v>
      </c>
      <c r="D473">
        <v>9</v>
      </c>
      <c r="E473" s="4">
        <v>2.5</v>
      </c>
      <c r="F473" s="4">
        <f t="shared" si="21"/>
        <v>22.5</v>
      </c>
      <c r="G473" t="str">
        <f t="shared" si="22"/>
        <v>Saturday</v>
      </c>
      <c r="H473" t="str">
        <f t="shared" si="23"/>
        <v>June</v>
      </c>
    </row>
    <row r="474" spans="1:8" x14ac:dyDescent="0.35">
      <c r="A474" s="1">
        <v>46179</v>
      </c>
      <c r="B474" t="s">
        <v>15</v>
      </c>
      <c r="C474" t="s">
        <v>16</v>
      </c>
      <c r="D474">
        <v>4</v>
      </c>
      <c r="E474" s="4">
        <v>4.5</v>
      </c>
      <c r="F474" s="4">
        <f t="shared" si="21"/>
        <v>18</v>
      </c>
      <c r="G474" t="str">
        <f t="shared" si="22"/>
        <v>Saturday</v>
      </c>
      <c r="H474" t="str">
        <f t="shared" si="23"/>
        <v>June</v>
      </c>
    </row>
    <row r="475" spans="1:8" x14ac:dyDescent="0.35">
      <c r="A475" s="1">
        <v>46180</v>
      </c>
      <c r="B475" t="s">
        <v>10</v>
      </c>
      <c r="C475" t="s">
        <v>17</v>
      </c>
      <c r="D475">
        <v>1</v>
      </c>
      <c r="E475" s="4">
        <v>3.25</v>
      </c>
      <c r="F475" s="4">
        <f t="shared" si="21"/>
        <v>3.25</v>
      </c>
      <c r="G475" t="str">
        <f t="shared" si="22"/>
        <v>Sunday</v>
      </c>
      <c r="H475" t="str">
        <f t="shared" si="23"/>
        <v>June</v>
      </c>
    </row>
    <row r="476" spans="1:8" x14ac:dyDescent="0.35">
      <c r="A476" s="1">
        <v>46180</v>
      </c>
      <c r="B476" t="s">
        <v>14</v>
      </c>
      <c r="C476" t="s">
        <v>16</v>
      </c>
      <c r="D476">
        <v>3</v>
      </c>
      <c r="E476" s="4">
        <v>5.5</v>
      </c>
      <c r="F476" s="4">
        <f t="shared" si="21"/>
        <v>16.5</v>
      </c>
      <c r="G476" t="str">
        <f t="shared" si="22"/>
        <v>Sunday</v>
      </c>
      <c r="H476" t="str">
        <f t="shared" si="23"/>
        <v>June</v>
      </c>
    </row>
    <row r="477" spans="1:8" x14ac:dyDescent="0.35">
      <c r="A477" s="1">
        <v>46180</v>
      </c>
      <c r="B477" t="s">
        <v>9</v>
      </c>
      <c r="C477" t="s">
        <v>17</v>
      </c>
      <c r="D477">
        <v>5</v>
      </c>
      <c r="E477" s="4">
        <v>3.75</v>
      </c>
      <c r="F477" s="4">
        <f t="shared" si="21"/>
        <v>18.75</v>
      </c>
      <c r="G477" t="str">
        <f t="shared" si="22"/>
        <v>Sunday</v>
      </c>
      <c r="H477" t="str">
        <f t="shared" si="23"/>
        <v>June</v>
      </c>
    </row>
    <row r="478" spans="1:8" x14ac:dyDescent="0.35">
      <c r="A478" s="1">
        <v>46181</v>
      </c>
      <c r="B478" t="s">
        <v>11</v>
      </c>
      <c r="C478" t="s">
        <v>18</v>
      </c>
      <c r="D478">
        <v>4</v>
      </c>
      <c r="E478" s="4">
        <v>6.5</v>
      </c>
      <c r="F478" s="4">
        <f t="shared" si="21"/>
        <v>26</v>
      </c>
      <c r="G478" t="str">
        <f t="shared" si="22"/>
        <v>Monday</v>
      </c>
      <c r="H478" t="str">
        <f t="shared" si="23"/>
        <v>June</v>
      </c>
    </row>
    <row r="479" spans="1:8" x14ac:dyDescent="0.35">
      <c r="A479" s="1">
        <v>46181</v>
      </c>
      <c r="B479" t="s">
        <v>7</v>
      </c>
      <c r="C479" t="s">
        <v>16</v>
      </c>
      <c r="D479">
        <v>2</v>
      </c>
      <c r="E479" s="4">
        <v>3.5</v>
      </c>
      <c r="F479" s="4">
        <f t="shared" si="21"/>
        <v>7</v>
      </c>
      <c r="G479" t="str">
        <f t="shared" si="22"/>
        <v>Monday</v>
      </c>
      <c r="H479" t="str">
        <f t="shared" si="23"/>
        <v>June</v>
      </c>
    </row>
    <row r="480" spans="1:8" x14ac:dyDescent="0.35">
      <c r="A480" s="1">
        <v>46181</v>
      </c>
      <c r="B480" t="s">
        <v>8</v>
      </c>
      <c r="C480" t="s">
        <v>16</v>
      </c>
      <c r="D480">
        <v>3</v>
      </c>
      <c r="E480" s="4">
        <v>4.25</v>
      </c>
      <c r="F480" s="4">
        <f t="shared" si="21"/>
        <v>12.75</v>
      </c>
      <c r="G480" t="str">
        <f t="shared" si="22"/>
        <v>Monday</v>
      </c>
      <c r="H480" t="str">
        <f t="shared" si="23"/>
        <v>June</v>
      </c>
    </row>
    <row r="481" spans="1:8" x14ac:dyDescent="0.35">
      <c r="A481" s="1">
        <v>46182</v>
      </c>
      <c r="B481" t="s">
        <v>15</v>
      </c>
      <c r="C481" t="s">
        <v>16</v>
      </c>
      <c r="D481">
        <v>3</v>
      </c>
      <c r="E481" s="4">
        <v>4.5</v>
      </c>
      <c r="F481" s="4">
        <v>13.5</v>
      </c>
      <c r="G481" t="str">
        <f t="shared" si="22"/>
        <v>Tuesday</v>
      </c>
      <c r="H481" t="str">
        <f t="shared" si="23"/>
        <v>June</v>
      </c>
    </row>
    <row r="482" spans="1:8" x14ac:dyDescent="0.35">
      <c r="A482" s="1">
        <v>46182</v>
      </c>
      <c r="B482" t="s">
        <v>10</v>
      </c>
      <c r="C482" t="s">
        <v>17</v>
      </c>
      <c r="D482">
        <v>2</v>
      </c>
      <c r="E482" s="4">
        <v>3.25</v>
      </c>
      <c r="F482" s="4">
        <v>6.5</v>
      </c>
      <c r="G482" t="str">
        <f t="shared" si="22"/>
        <v>Tuesday</v>
      </c>
      <c r="H482" t="str">
        <f t="shared" si="23"/>
        <v>June</v>
      </c>
    </row>
    <row r="483" spans="1:8" x14ac:dyDescent="0.35">
      <c r="A483" s="1">
        <v>46182</v>
      </c>
      <c r="B483" t="s">
        <v>14</v>
      </c>
      <c r="C483" t="s">
        <v>16</v>
      </c>
      <c r="D483">
        <v>5</v>
      </c>
      <c r="E483" s="4">
        <v>5.5</v>
      </c>
      <c r="F483" s="4">
        <v>27.5</v>
      </c>
      <c r="G483" t="str">
        <f t="shared" si="22"/>
        <v>Tuesday</v>
      </c>
      <c r="H483" t="str">
        <f t="shared" si="23"/>
        <v>June</v>
      </c>
    </row>
    <row r="484" spans="1:8" x14ac:dyDescent="0.35">
      <c r="A484" s="1">
        <v>46183</v>
      </c>
      <c r="B484" t="s">
        <v>9</v>
      </c>
      <c r="C484" t="s">
        <v>17</v>
      </c>
      <c r="D484">
        <v>4</v>
      </c>
      <c r="E484" s="4">
        <v>3.75</v>
      </c>
      <c r="F484" s="4">
        <v>15</v>
      </c>
      <c r="G484" t="str">
        <f t="shared" si="22"/>
        <v>Wednesday</v>
      </c>
      <c r="H484" t="str">
        <f t="shared" si="23"/>
        <v>June</v>
      </c>
    </row>
    <row r="485" spans="1:8" x14ac:dyDescent="0.35">
      <c r="A485" s="1">
        <v>46183</v>
      </c>
      <c r="B485" t="s">
        <v>11</v>
      </c>
      <c r="C485" t="s">
        <v>18</v>
      </c>
      <c r="D485">
        <v>2</v>
      </c>
      <c r="E485" s="4">
        <v>6.5</v>
      </c>
      <c r="F485" s="4">
        <v>13</v>
      </c>
      <c r="G485" t="str">
        <f t="shared" si="22"/>
        <v>Wednesday</v>
      </c>
      <c r="H485" t="str">
        <f t="shared" si="23"/>
        <v>June</v>
      </c>
    </row>
    <row r="486" spans="1:8" x14ac:dyDescent="0.35">
      <c r="A486" s="1">
        <v>46183</v>
      </c>
      <c r="B486" t="s">
        <v>7</v>
      </c>
      <c r="C486" t="s">
        <v>16</v>
      </c>
      <c r="D486">
        <v>1</v>
      </c>
      <c r="E486" s="4">
        <v>3.5</v>
      </c>
      <c r="F486" s="4">
        <v>3.5</v>
      </c>
      <c r="G486" t="str">
        <f t="shared" si="22"/>
        <v>Wednesday</v>
      </c>
      <c r="H486" t="str">
        <f t="shared" si="23"/>
        <v>June</v>
      </c>
    </row>
    <row r="487" spans="1:8" x14ac:dyDescent="0.35">
      <c r="A487" s="1">
        <v>46184</v>
      </c>
      <c r="B487" t="s">
        <v>8</v>
      </c>
      <c r="C487" t="s">
        <v>16</v>
      </c>
      <c r="D487">
        <v>4</v>
      </c>
      <c r="E487" s="4">
        <v>4.25</v>
      </c>
      <c r="F487" s="4">
        <v>17</v>
      </c>
      <c r="G487" t="str">
        <f t="shared" si="22"/>
        <v>Thursday</v>
      </c>
      <c r="H487" t="str">
        <f t="shared" si="23"/>
        <v>June</v>
      </c>
    </row>
    <row r="488" spans="1:8" x14ac:dyDescent="0.35">
      <c r="A488" s="1">
        <v>46184</v>
      </c>
      <c r="B488" t="s">
        <v>13</v>
      </c>
      <c r="C488" t="s">
        <v>16</v>
      </c>
      <c r="D488">
        <v>3</v>
      </c>
      <c r="E488" s="4">
        <v>4.75</v>
      </c>
      <c r="F488" s="4">
        <v>14.25</v>
      </c>
      <c r="G488" t="str">
        <f t="shared" si="22"/>
        <v>Thursday</v>
      </c>
      <c r="H488" t="str">
        <f t="shared" si="23"/>
        <v>June</v>
      </c>
    </row>
    <row r="489" spans="1:8" x14ac:dyDescent="0.35">
      <c r="A489" s="1">
        <v>46184</v>
      </c>
      <c r="B489" t="s">
        <v>6</v>
      </c>
      <c r="C489" t="s">
        <v>16</v>
      </c>
      <c r="D489">
        <v>5</v>
      </c>
      <c r="E489" s="4">
        <v>4.5</v>
      </c>
      <c r="F489" s="4">
        <v>22.5</v>
      </c>
      <c r="G489" t="str">
        <f t="shared" si="22"/>
        <v>Thursday</v>
      </c>
      <c r="H489" t="str">
        <f t="shared" si="23"/>
        <v>June</v>
      </c>
    </row>
    <row r="490" spans="1:8" x14ac:dyDescent="0.35">
      <c r="A490" s="1">
        <v>46185</v>
      </c>
      <c r="B490" t="s">
        <v>12</v>
      </c>
      <c r="C490" t="s">
        <v>17</v>
      </c>
      <c r="D490">
        <v>6</v>
      </c>
      <c r="E490" s="4">
        <v>2.5</v>
      </c>
      <c r="F490" s="4">
        <v>15</v>
      </c>
      <c r="G490" t="str">
        <f t="shared" si="22"/>
        <v>Friday</v>
      </c>
      <c r="H490" t="str">
        <f t="shared" si="23"/>
        <v>June</v>
      </c>
    </row>
    <row r="491" spans="1:8" x14ac:dyDescent="0.35">
      <c r="A491" s="1">
        <v>46185</v>
      </c>
      <c r="B491" t="s">
        <v>15</v>
      </c>
      <c r="C491" t="s">
        <v>16</v>
      </c>
      <c r="D491">
        <v>2</v>
      </c>
      <c r="E491" s="4">
        <v>4.5</v>
      </c>
      <c r="F491" s="4">
        <v>9</v>
      </c>
      <c r="G491" t="str">
        <f t="shared" si="22"/>
        <v>Friday</v>
      </c>
      <c r="H491" t="str">
        <f t="shared" si="23"/>
        <v>June</v>
      </c>
    </row>
    <row r="492" spans="1:8" x14ac:dyDescent="0.35">
      <c r="A492" s="1">
        <v>46185</v>
      </c>
      <c r="B492" t="s">
        <v>10</v>
      </c>
      <c r="C492" t="s">
        <v>17</v>
      </c>
      <c r="D492">
        <v>3</v>
      </c>
      <c r="E492" s="4">
        <v>3.25</v>
      </c>
      <c r="F492" s="4">
        <v>9.75</v>
      </c>
      <c r="G492" t="str">
        <f t="shared" si="22"/>
        <v>Friday</v>
      </c>
      <c r="H492" t="str">
        <f t="shared" si="23"/>
        <v>June</v>
      </c>
    </row>
    <row r="493" spans="1:8" x14ac:dyDescent="0.35">
      <c r="A493" s="1">
        <v>46186</v>
      </c>
      <c r="B493" t="s">
        <v>14</v>
      </c>
      <c r="C493" t="s">
        <v>16</v>
      </c>
      <c r="D493">
        <v>4</v>
      </c>
      <c r="E493" s="4">
        <v>5.5</v>
      </c>
      <c r="F493" s="4">
        <v>22</v>
      </c>
      <c r="G493" t="str">
        <f t="shared" si="22"/>
        <v>Saturday</v>
      </c>
      <c r="H493" t="str">
        <f t="shared" si="23"/>
        <v>June</v>
      </c>
    </row>
    <row r="494" spans="1:8" x14ac:dyDescent="0.35">
      <c r="A494" s="1">
        <v>46186</v>
      </c>
      <c r="B494" t="s">
        <v>9</v>
      </c>
      <c r="C494" t="s">
        <v>17</v>
      </c>
      <c r="D494">
        <v>1</v>
      </c>
      <c r="E494" s="4">
        <v>3.75</v>
      </c>
      <c r="F494" s="4">
        <v>3.75</v>
      </c>
      <c r="G494" t="str">
        <f t="shared" si="22"/>
        <v>Saturday</v>
      </c>
      <c r="H494" t="str">
        <f t="shared" si="23"/>
        <v>June</v>
      </c>
    </row>
    <row r="495" spans="1:8" x14ac:dyDescent="0.35">
      <c r="A495" s="1">
        <v>46186</v>
      </c>
      <c r="B495" t="s">
        <v>11</v>
      </c>
      <c r="C495" t="s">
        <v>18</v>
      </c>
      <c r="D495">
        <v>5</v>
      </c>
      <c r="E495" s="4">
        <v>6.5</v>
      </c>
      <c r="F495" s="4">
        <v>32.5</v>
      </c>
      <c r="G495" t="str">
        <f t="shared" si="22"/>
        <v>Saturday</v>
      </c>
      <c r="H495" t="str">
        <f t="shared" si="23"/>
        <v>June</v>
      </c>
    </row>
    <row r="496" spans="1:8" x14ac:dyDescent="0.35">
      <c r="A496" s="1">
        <v>46187</v>
      </c>
      <c r="B496" t="s">
        <v>7</v>
      </c>
      <c r="C496" t="s">
        <v>16</v>
      </c>
      <c r="D496">
        <v>3</v>
      </c>
      <c r="E496" s="4">
        <v>3.5</v>
      </c>
      <c r="F496" s="4">
        <v>10.5</v>
      </c>
      <c r="G496" t="str">
        <f t="shared" si="22"/>
        <v>Sunday</v>
      </c>
      <c r="H496" t="str">
        <f t="shared" si="23"/>
        <v>June</v>
      </c>
    </row>
    <row r="497" spans="1:8" x14ac:dyDescent="0.35">
      <c r="A497" s="1">
        <v>46187</v>
      </c>
      <c r="B497" t="s">
        <v>8</v>
      </c>
      <c r="C497" t="s">
        <v>16</v>
      </c>
      <c r="D497">
        <v>2</v>
      </c>
      <c r="E497" s="4">
        <v>4.25</v>
      </c>
      <c r="F497" s="4">
        <v>8.5</v>
      </c>
      <c r="G497" t="str">
        <f t="shared" si="22"/>
        <v>Sunday</v>
      </c>
      <c r="H497" t="str">
        <f t="shared" si="23"/>
        <v>June</v>
      </c>
    </row>
    <row r="498" spans="1:8" x14ac:dyDescent="0.35">
      <c r="A498" s="1">
        <v>46187</v>
      </c>
      <c r="B498" t="s">
        <v>13</v>
      </c>
      <c r="C498" t="s">
        <v>16</v>
      </c>
      <c r="D498">
        <v>4</v>
      </c>
      <c r="E498" s="4">
        <v>4.75</v>
      </c>
      <c r="F498" s="4">
        <v>19</v>
      </c>
      <c r="G498" t="str">
        <f t="shared" si="22"/>
        <v>Sunday</v>
      </c>
      <c r="H498" t="str">
        <f t="shared" si="23"/>
        <v>June</v>
      </c>
    </row>
    <row r="499" spans="1:8" x14ac:dyDescent="0.35">
      <c r="A499" s="1">
        <v>46188</v>
      </c>
      <c r="B499" t="s">
        <v>6</v>
      </c>
      <c r="C499" t="s">
        <v>16</v>
      </c>
      <c r="D499">
        <v>2</v>
      </c>
      <c r="E499" s="4">
        <v>4.5</v>
      </c>
      <c r="F499" s="4">
        <v>9</v>
      </c>
      <c r="G499" t="str">
        <f t="shared" si="22"/>
        <v>Monday</v>
      </c>
      <c r="H499" t="str">
        <f t="shared" si="23"/>
        <v>June</v>
      </c>
    </row>
    <row r="500" spans="1:8" x14ac:dyDescent="0.35">
      <c r="A500" s="1">
        <v>46188</v>
      </c>
      <c r="B500" t="s">
        <v>12</v>
      </c>
      <c r="C500" t="s">
        <v>17</v>
      </c>
      <c r="D500">
        <v>8</v>
      </c>
      <c r="E500" s="4">
        <v>2.5</v>
      </c>
      <c r="F500" s="4">
        <v>20</v>
      </c>
      <c r="G500" t="str">
        <f t="shared" si="22"/>
        <v>Monday</v>
      </c>
      <c r="H500" t="str">
        <f t="shared" si="23"/>
        <v>June</v>
      </c>
    </row>
    <row r="501" spans="1:8" x14ac:dyDescent="0.35">
      <c r="A501" s="1">
        <v>46188</v>
      </c>
      <c r="B501" t="s">
        <v>15</v>
      </c>
      <c r="C501" t="s">
        <v>16</v>
      </c>
      <c r="D501">
        <v>5</v>
      </c>
      <c r="E501" s="4">
        <v>4.5</v>
      </c>
      <c r="F501" s="4">
        <v>22.5</v>
      </c>
      <c r="G501" t="str">
        <f t="shared" si="22"/>
        <v>Monday</v>
      </c>
      <c r="H501" t="str">
        <f t="shared" si="23"/>
        <v>June</v>
      </c>
    </row>
    <row r="502" spans="1:8" x14ac:dyDescent="0.35">
      <c r="A502" s="1">
        <v>46189</v>
      </c>
      <c r="B502" t="s">
        <v>10</v>
      </c>
      <c r="C502" t="s">
        <v>17</v>
      </c>
      <c r="D502">
        <v>4</v>
      </c>
      <c r="E502" s="4">
        <v>3.25</v>
      </c>
      <c r="F502" s="4">
        <v>13</v>
      </c>
      <c r="G502" t="str">
        <f t="shared" si="22"/>
        <v>Tuesday</v>
      </c>
      <c r="H502" t="str">
        <f t="shared" si="23"/>
        <v>June</v>
      </c>
    </row>
    <row r="503" spans="1:8" x14ac:dyDescent="0.35">
      <c r="A503" s="1">
        <v>46189</v>
      </c>
      <c r="B503" t="s">
        <v>14</v>
      </c>
      <c r="C503" t="s">
        <v>16</v>
      </c>
      <c r="D503">
        <v>1</v>
      </c>
      <c r="E503" s="4">
        <v>5.5</v>
      </c>
      <c r="F503" s="4">
        <v>5.5</v>
      </c>
      <c r="G503" t="str">
        <f t="shared" si="22"/>
        <v>Tuesday</v>
      </c>
      <c r="H503" t="str">
        <f t="shared" si="23"/>
        <v>June</v>
      </c>
    </row>
    <row r="504" spans="1:8" x14ac:dyDescent="0.35">
      <c r="A504" s="1">
        <v>46189</v>
      </c>
      <c r="B504" t="s">
        <v>9</v>
      </c>
      <c r="C504" t="s">
        <v>17</v>
      </c>
      <c r="D504">
        <v>3</v>
      </c>
      <c r="E504" s="4">
        <v>3.75</v>
      </c>
      <c r="F504" s="4">
        <v>11.25</v>
      </c>
      <c r="G504" t="str">
        <f t="shared" si="22"/>
        <v>Tuesday</v>
      </c>
      <c r="H504" t="str">
        <f t="shared" si="23"/>
        <v>June</v>
      </c>
    </row>
    <row r="505" spans="1:8" x14ac:dyDescent="0.35">
      <c r="A505" s="1">
        <v>46190</v>
      </c>
      <c r="B505" t="s">
        <v>11</v>
      </c>
      <c r="C505" t="s">
        <v>18</v>
      </c>
      <c r="D505">
        <v>3</v>
      </c>
      <c r="E505" s="4">
        <v>6.5</v>
      </c>
      <c r="F505" s="4">
        <v>19.5</v>
      </c>
      <c r="G505" t="str">
        <f t="shared" si="22"/>
        <v>Wednesday</v>
      </c>
      <c r="H505" t="str">
        <f t="shared" si="23"/>
        <v>June</v>
      </c>
    </row>
    <row r="506" spans="1:8" x14ac:dyDescent="0.35">
      <c r="A506" s="1">
        <v>46190</v>
      </c>
      <c r="B506" t="s">
        <v>7</v>
      </c>
      <c r="C506" t="s">
        <v>16</v>
      </c>
      <c r="D506">
        <v>4</v>
      </c>
      <c r="E506" s="4">
        <v>3.5</v>
      </c>
      <c r="F506" s="4">
        <v>14</v>
      </c>
      <c r="G506" t="str">
        <f t="shared" si="22"/>
        <v>Wednesday</v>
      </c>
      <c r="H506" t="str">
        <f t="shared" si="23"/>
        <v>June</v>
      </c>
    </row>
    <row r="507" spans="1:8" x14ac:dyDescent="0.35">
      <c r="A507" s="1">
        <v>46190</v>
      </c>
      <c r="B507" t="s">
        <v>8</v>
      </c>
      <c r="C507" t="s">
        <v>16</v>
      </c>
      <c r="D507">
        <v>1</v>
      </c>
      <c r="E507" s="4">
        <v>4.25</v>
      </c>
      <c r="F507" s="4">
        <v>4.25</v>
      </c>
      <c r="G507" t="str">
        <f t="shared" si="22"/>
        <v>Wednesday</v>
      </c>
      <c r="H507" t="str">
        <f t="shared" si="23"/>
        <v>June</v>
      </c>
    </row>
    <row r="508" spans="1:8" x14ac:dyDescent="0.35">
      <c r="A508" s="1">
        <v>46191</v>
      </c>
      <c r="B508" t="s">
        <v>13</v>
      </c>
      <c r="C508" t="s">
        <v>16</v>
      </c>
      <c r="D508">
        <v>5</v>
      </c>
      <c r="E508" s="4">
        <v>4.75</v>
      </c>
      <c r="F508" s="4">
        <v>23.75</v>
      </c>
      <c r="G508" t="str">
        <f t="shared" si="22"/>
        <v>Thursday</v>
      </c>
      <c r="H508" t="str">
        <f t="shared" si="23"/>
        <v>June</v>
      </c>
    </row>
    <row r="509" spans="1:8" x14ac:dyDescent="0.35">
      <c r="A509" s="1">
        <v>46191</v>
      </c>
      <c r="B509" t="s">
        <v>6</v>
      </c>
      <c r="C509" t="s">
        <v>16</v>
      </c>
      <c r="D509">
        <v>3</v>
      </c>
      <c r="E509" s="4">
        <v>4.5</v>
      </c>
      <c r="F509" s="4">
        <v>13.5</v>
      </c>
      <c r="G509" t="str">
        <f t="shared" si="22"/>
        <v>Thursday</v>
      </c>
      <c r="H509" t="str">
        <f t="shared" si="23"/>
        <v>June</v>
      </c>
    </row>
    <row r="510" spans="1:8" x14ac:dyDescent="0.35">
      <c r="A510" s="1">
        <v>46191</v>
      </c>
      <c r="B510" t="s">
        <v>12</v>
      </c>
      <c r="C510" t="s">
        <v>17</v>
      </c>
      <c r="D510">
        <v>10</v>
      </c>
      <c r="E510" s="4">
        <v>2.5</v>
      </c>
      <c r="F510" s="4">
        <v>25</v>
      </c>
      <c r="G510" t="str">
        <f t="shared" si="22"/>
        <v>Thursday</v>
      </c>
      <c r="H510" t="str">
        <f t="shared" si="23"/>
        <v>June</v>
      </c>
    </row>
    <row r="511" spans="1:8" x14ac:dyDescent="0.35">
      <c r="A511" s="1">
        <v>46192</v>
      </c>
      <c r="B511" t="s">
        <v>15</v>
      </c>
      <c r="C511" t="s">
        <v>16</v>
      </c>
      <c r="D511">
        <v>2</v>
      </c>
      <c r="E511" s="4">
        <v>4.5</v>
      </c>
      <c r="F511" s="4">
        <v>9</v>
      </c>
      <c r="G511" t="str">
        <f t="shared" si="22"/>
        <v>Friday</v>
      </c>
      <c r="H511" t="str">
        <f t="shared" si="23"/>
        <v>June</v>
      </c>
    </row>
    <row r="512" spans="1:8" x14ac:dyDescent="0.35">
      <c r="A512" s="1">
        <v>46192</v>
      </c>
      <c r="B512" t="s">
        <v>10</v>
      </c>
      <c r="C512" t="s">
        <v>17</v>
      </c>
      <c r="D512">
        <v>5</v>
      </c>
      <c r="E512" s="4">
        <v>3.25</v>
      </c>
      <c r="F512" s="4">
        <v>16.25</v>
      </c>
      <c r="G512" t="str">
        <f t="shared" si="22"/>
        <v>Friday</v>
      </c>
      <c r="H512" t="str">
        <f t="shared" si="23"/>
        <v>June</v>
      </c>
    </row>
    <row r="513" spans="1:8" x14ac:dyDescent="0.35">
      <c r="A513" s="1">
        <v>46192</v>
      </c>
      <c r="B513" t="s">
        <v>14</v>
      </c>
      <c r="C513" t="s">
        <v>16</v>
      </c>
      <c r="D513">
        <v>3</v>
      </c>
      <c r="E513" s="4">
        <v>5.5</v>
      </c>
      <c r="F513" s="4">
        <v>16.5</v>
      </c>
      <c r="G513" t="str">
        <f t="shared" si="22"/>
        <v>Friday</v>
      </c>
      <c r="H513" t="str">
        <f t="shared" si="23"/>
        <v>June</v>
      </c>
    </row>
    <row r="514" spans="1:8" x14ac:dyDescent="0.35">
      <c r="A514" s="1">
        <v>46193</v>
      </c>
      <c r="B514" t="s">
        <v>9</v>
      </c>
      <c r="C514" t="s">
        <v>17</v>
      </c>
      <c r="D514">
        <v>2</v>
      </c>
      <c r="E514" s="4">
        <v>3.75</v>
      </c>
      <c r="F514" s="4">
        <v>7.5</v>
      </c>
      <c r="G514" t="str">
        <f t="shared" si="22"/>
        <v>Saturday</v>
      </c>
      <c r="H514" t="str">
        <f t="shared" si="23"/>
        <v>June</v>
      </c>
    </row>
    <row r="515" spans="1:8" x14ac:dyDescent="0.35">
      <c r="A515" s="1">
        <v>46193</v>
      </c>
      <c r="B515" t="s">
        <v>11</v>
      </c>
      <c r="C515" t="s">
        <v>18</v>
      </c>
      <c r="D515">
        <v>4</v>
      </c>
      <c r="E515" s="4">
        <v>6.5</v>
      </c>
      <c r="F515" s="4">
        <v>26</v>
      </c>
      <c r="G515" t="str">
        <f t="shared" si="22"/>
        <v>Saturday</v>
      </c>
      <c r="H515" t="str">
        <f t="shared" si="23"/>
        <v>June</v>
      </c>
    </row>
    <row r="516" spans="1:8" x14ac:dyDescent="0.35">
      <c r="A516" s="1">
        <v>46193</v>
      </c>
      <c r="B516" t="s">
        <v>7</v>
      </c>
      <c r="C516" t="s">
        <v>16</v>
      </c>
      <c r="D516">
        <v>2</v>
      </c>
      <c r="E516" s="4">
        <v>3.5</v>
      </c>
      <c r="F516" s="4">
        <v>7</v>
      </c>
      <c r="G516" t="str">
        <f t="shared" si="22"/>
        <v>Saturday</v>
      </c>
      <c r="H516" t="str">
        <f t="shared" si="23"/>
        <v>June</v>
      </c>
    </row>
    <row r="517" spans="1:8" x14ac:dyDescent="0.35">
      <c r="A517" s="1">
        <v>46194</v>
      </c>
      <c r="B517" t="s">
        <v>8</v>
      </c>
      <c r="C517" t="s">
        <v>16</v>
      </c>
      <c r="D517">
        <v>3</v>
      </c>
      <c r="E517" s="4">
        <v>4.25</v>
      </c>
      <c r="F517" s="4">
        <v>12.75</v>
      </c>
      <c r="G517" t="str">
        <f t="shared" ref="G517:G546" si="24">TEXT(A517,"dddd")</f>
        <v>Sunday</v>
      </c>
      <c r="H517" t="str">
        <f t="shared" ref="H517:H546" si="25">TEXT(A517,"mmmm")</f>
        <v>June</v>
      </c>
    </row>
    <row r="518" spans="1:8" x14ac:dyDescent="0.35">
      <c r="A518" s="1">
        <v>46194</v>
      </c>
      <c r="B518" t="s">
        <v>13</v>
      </c>
      <c r="C518" t="s">
        <v>16</v>
      </c>
      <c r="D518">
        <v>1</v>
      </c>
      <c r="E518" s="4">
        <v>4.75</v>
      </c>
      <c r="F518" s="4">
        <v>4.75</v>
      </c>
      <c r="G518" t="str">
        <f t="shared" si="24"/>
        <v>Sunday</v>
      </c>
      <c r="H518" t="str">
        <f t="shared" si="25"/>
        <v>June</v>
      </c>
    </row>
    <row r="519" spans="1:8" x14ac:dyDescent="0.35">
      <c r="A519" s="1">
        <v>46194</v>
      </c>
      <c r="B519" t="s">
        <v>6</v>
      </c>
      <c r="C519" t="s">
        <v>16</v>
      </c>
      <c r="D519">
        <v>4</v>
      </c>
      <c r="E519" s="4">
        <v>4.5</v>
      </c>
      <c r="F519" s="4">
        <v>18</v>
      </c>
      <c r="G519" t="str">
        <f t="shared" si="24"/>
        <v>Sunday</v>
      </c>
      <c r="H519" t="str">
        <f t="shared" si="25"/>
        <v>June</v>
      </c>
    </row>
    <row r="520" spans="1:8" x14ac:dyDescent="0.35">
      <c r="A520" s="1">
        <v>46195</v>
      </c>
      <c r="B520" t="s">
        <v>12</v>
      </c>
      <c r="C520" t="s">
        <v>17</v>
      </c>
      <c r="D520">
        <v>7</v>
      </c>
      <c r="E520" s="4">
        <v>2.5</v>
      </c>
      <c r="F520" s="4">
        <v>17.5</v>
      </c>
      <c r="G520" t="str">
        <f t="shared" si="24"/>
        <v>Monday</v>
      </c>
      <c r="H520" t="str">
        <f t="shared" si="25"/>
        <v>June</v>
      </c>
    </row>
    <row r="521" spans="1:8" x14ac:dyDescent="0.35">
      <c r="A521" s="1">
        <v>46195</v>
      </c>
      <c r="B521" t="s">
        <v>15</v>
      </c>
      <c r="C521" t="s">
        <v>16</v>
      </c>
      <c r="D521">
        <v>1</v>
      </c>
      <c r="E521" s="4">
        <v>4.5</v>
      </c>
      <c r="F521" s="4">
        <v>4.5</v>
      </c>
      <c r="G521" t="str">
        <f t="shared" si="24"/>
        <v>Monday</v>
      </c>
      <c r="H521" t="str">
        <f t="shared" si="25"/>
        <v>June</v>
      </c>
    </row>
    <row r="522" spans="1:8" x14ac:dyDescent="0.35">
      <c r="A522" s="1">
        <v>46195</v>
      </c>
      <c r="B522" t="s">
        <v>10</v>
      </c>
      <c r="C522" t="s">
        <v>17</v>
      </c>
      <c r="D522">
        <v>2</v>
      </c>
      <c r="E522" s="4">
        <v>3.25</v>
      </c>
      <c r="F522" s="4">
        <v>6.5</v>
      </c>
      <c r="G522" t="str">
        <f t="shared" si="24"/>
        <v>Monday</v>
      </c>
      <c r="H522" t="str">
        <f t="shared" si="25"/>
        <v>June</v>
      </c>
    </row>
    <row r="523" spans="1:8" x14ac:dyDescent="0.35">
      <c r="A523" s="1">
        <v>46196</v>
      </c>
      <c r="B523" t="s">
        <v>14</v>
      </c>
      <c r="C523" t="s">
        <v>16</v>
      </c>
      <c r="D523">
        <v>5</v>
      </c>
      <c r="E523" s="4">
        <v>5.5</v>
      </c>
      <c r="F523" s="4">
        <v>27.5</v>
      </c>
      <c r="G523" t="str">
        <f t="shared" si="24"/>
        <v>Tuesday</v>
      </c>
      <c r="H523" t="str">
        <f t="shared" si="25"/>
        <v>June</v>
      </c>
    </row>
    <row r="524" spans="1:8" x14ac:dyDescent="0.35">
      <c r="A524" s="1">
        <v>46196</v>
      </c>
      <c r="B524" t="s">
        <v>9</v>
      </c>
      <c r="C524" t="s">
        <v>17</v>
      </c>
      <c r="D524">
        <v>4</v>
      </c>
      <c r="E524" s="4">
        <v>3.75</v>
      </c>
      <c r="F524" s="4">
        <v>15</v>
      </c>
      <c r="G524" t="str">
        <f t="shared" si="24"/>
        <v>Tuesday</v>
      </c>
      <c r="H524" t="str">
        <f t="shared" si="25"/>
        <v>June</v>
      </c>
    </row>
    <row r="525" spans="1:8" x14ac:dyDescent="0.35">
      <c r="A525" s="1">
        <v>46196</v>
      </c>
      <c r="B525" t="s">
        <v>11</v>
      </c>
      <c r="C525" t="s">
        <v>18</v>
      </c>
      <c r="D525">
        <v>2</v>
      </c>
      <c r="E525" s="4">
        <v>6.5</v>
      </c>
      <c r="F525" s="4">
        <v>13</v>
      </c>
      <c r="G525" t="str">
        <f t="shared" si="24"/>
        <v>Tuesday</v>
      </c>
      <c r="H525" t="str">
        <f t="shared" si="25"/>
        <v>June</v>
      </c>
    </row>
    <row r="526" spans="1:8" x14ac:dyDescent="0.35">
      <c r="A526" s="1">
        <v>46197</v>
      </c>
      <c r="B526" t="s">
        <v>7</v>
      </c>
      <c r="C526" t="s">
        <v>16</v>
      </c>
      <c r="D526">
        <v>5</v>
      </c>
      <c r="E526" s="4">
        <v>3.5</v>
      </c>
      <c r="F526" s="4">
        <v>17.5</v>
      </c>
      <c r="G526" t="str">
        <f t="shared" si="24"/>
        <v>Wednesday</v>
      </c>
      <c r="H526" t="str">
        <f t="shared" si="25"/>
        <v>June</v>
      </c>
    </row>
    <row r="527" spans="1:8" x14ac:dyDescent="0.35">
      <c r="A527" s="1">
        <v>46197</v>
      </c>
      <c r="B527" t="s">
        <v>8</v>
      </c>
      <c r="C527" t="s">
        <v>16</v>
      </c>
      <c r="D527">
        <v>2</v>
      </c>
      <c r="E527" s="4">
        <v>4.25</v>
      </c>
      <c r="F527" s="4">
        <v>8.5</v>
      </c>
      <c r="G527" t="str">
        <f t="shared" si="24"/>
        <v>Wednesday</v>
      </c>
      <c r="H527" t="str">
        <f t="shared" si="25"/>
        <v>June</v>
      </c>
    </row>
    <row r="528" spans="1:8" x14ac:dyDescent="0.35">
      <c r="A528" s="1">
        <v>46197</v>
      </c>
      <c r="B528" t="s">
        <v>13</v>
      </c>
      <c r="C528" t="s">
        <v>16</v>
      </c>
      <c r="D528">
        <v>3</v>
      </c>
      <c r="E528" s="4">
        <v>4.75</v>
      </c>
      <c r="F528" s="4">
        <v>14.25</v>
      </c>
      <c r="G528" t="str">
        <f t="shared" si="24"/>
        <v>Wednesday</v>
      </c>
      <c r="H528" t="str">
        <f t="shared" si="25"/>
        <v>June</v>
      </c>
    </row>
    <row r="529" spans="1:8" x14ac:dyDescent="0.35">
      <c r="A529" s="1">
        <v>46198</v>
      </c>
      <c r="B529" t="s">
        <v>6</v>
      </c>
      <c r="C529" t="s">
        <v>16</v>
      </c>
      <c r="D529">
        <v>1</v>
      </c>
      <c r="E529" s="4">
        <v>4.5</v>
      </c>
      <c r="F529" s="4">
        <v>4.5</v>
      </c>
      <c r="G529" t="str">
        <f t="shared" si="24"/>
        <v>Thursday</v>
      </c>
      <c r="H529" t="str">
        <f t="shared" si="25"/>
        <v>June</v>
      </c>
    </row>
    <row r="530" spans="1:8" x14ac:dyDescent="0.35">
      <c r="A530" s="1">
        <v>46198</v>
      </c>
      <c r="B530" t="s">
        <v>12</v>
      </c>
      <c r="C530" t="s">
        <v>17</v>
      </c>
      <c r="D530">
        <v>11</v>
      </c>
      <c r="E530" s="4">
        <v>2.5</v>
      </c>
      <c r="F530" s="4">
        <v>27.5</v>
      </c>
      <c r="G530" t="str">
        <f t="shared" si="24"/>
        <v>Thursday</v>
      </c>
      <c r="H530" t="str">
        <f t="shared" si="25"/>
        <v>June</v>
      </c>
    </row>
    <row r="531" spans="1:8" x14ac:dyDescent="0.35">
      <c r="A531" s="1">
        <v>46198</v>
      </c>
      <c r="B531" t="s">
        <v>15</v>
      </c>
      <c r="C531" t="s">
        <v>16</v>
      </c>
      <c r="D531">
        <v>4</v>
      </c>
      <c r="E531" s="4">
        <v>4.5</v>
      </c>
      <c r="F531" s="4">
        <v>18</v>
      </c>
      <c r="G531" t="str">
        <f t="shared" si="24"/>
        <v>Thursday</v>
      </c>
      <c r="H531" t="str">
        <f t="shared" si="25"/>
        <v>June</v>
      </c>
    </row>
    <row r="532" spans="1:8" x14ac:dyDescent="0.35">
      <c r="A532" s="1">
        <v>46199</v>
      </c>
      <c r="B532" t="s">
        <v>10</v>
      </c>
      <c r="C532" t="s">
        <v>17</v>
      </c>
      <c r="D532">
        <v>3</v>
      </c>
      <c r="E532" s="4">
        <v>3.25</v>
      </c>
      <c r="F532" s="4">
        <v>9.75</v>
      </c>
      <c r="G532" t="str">
        <f t="shared" si="24"/>
        <v>Friday</v>
      </c>
      <c r="H532" t="str">
        <f t="shared" si="25"/>
        <v>June</v>
      </c>
    </row>
    <row r="533" spans="1:8" x14ac:dyDescent="0.35">
      <c r="A533" s="1">
        <v>46199</v>
      </c>
      <c r="B533" t="s">
        <v>14</v>
      </c>
      <c r="C533" t="s">
        <v>16</v>
      </c>
      <c r="D533">
        <v>2</v>
      </c>
      <c r="E533" s="4">
        <v>5.5</v>
      </c>
      <c r="F533" s="4">
        <v>11</v>
      </c>
      <c r="G533" t="str">
        <f t="shared" si="24"/>
        <v>Friday</v>
      </c>
      <c r="H533" t="str">
        <f t="shared" si="25"/>
        <v>June</v>
      </c>
    </row>
    <row r="534" spans="1:8" x14ac:dyDescent="0.35">
      <c r="A534" s="1">
        <v>46199</v>
      </c>
      <c r="B534" t="s">
        <v>9</v>
      </c>
      <c r="C534" t="s">
        <v>17</v>
      </c>
      <c r="D534">
        <v>1</v>
      </c>
      <c r="E534" s="4">
        <v>3.75</v>
      </c>
      <c r="F534" s="4">
        <v>3.75</v>
      </c>
      <c r="G534" t="str">
        <f t="shared" si="24"/>
        <v>Friday</v>
      </c>
      <c r="H534" t="str">
        <f t="shared" si="25"/>
        <v>June</v>
      </c>
    </row>
    <row r="535" spans="1:8" x14ac:dyDescent="0.35">
      <c r="A535" s="1">
        <v>46200</v>
      </c>
      <c r="B535" t="s">
        <v>11</v>
      </c>
      <c r="C535" t="s">
        <v>18</v>
      </c>
      <c r="D535">
        <v>4</v>
      </c>
      <c r="E535" s="4">
        <v>6.5</v>
      </c>
      <c r="F535" s="4">
        <v>26</v>
      </c>
      <c r="G535" t="str">
        <f t="shared" si="24"/>
        <v>Saturday</v>
      </c>
      <c r="H535" t="str">
        <f t="shared" si="25"/>
        <v>June</v>
      </c>
    </row>
    <row r="536" spans="1:8" x14ac:dyDescent="0.35">
      <c r="A536" s="1">
        <v>46200</v>
      </c>
      <c r="B536" t="s">
        <v>7</v>
      </c>
      <c r="C536" t="s">
        <v>16</v>
      </c>
      <c r="D536">
        <v>3</v>
      </c>
      <c r="E536" s="4">
        <v>3.5</v>
      </c>
      <c r="F536" s="4">
        <v>10.5</v>
      </c>
      <c r="G536" t="str">
        <f t="shared" si="24"/>
        <v>Saturday</v>
      </c>
      <c r="H536" t="str">
        <f t="shared" si="25"/>
        <v>June</v>
      </c>
    </row>
    <row r="537" spans="1:8" x14ac:dyDescent="0.35">
      <c r="A537" s="1">
        <v>46200</v>
      </c>
      <c r="B537" t="s">
        <v>8</v>
      </c>
      <c r="C537" t="s">
        <v>16</v>
      </c>
      <c r="D537">
        <v>5</v>
      </c>
      <c r="E537" s="4">
        <v>4.25</v>
      </c>
      <c r="F537" s="4">
        <v>21.25</v>
      </c>
      <c r="G537" t="str">
        <f t="shared" si="24"/>
        <v>Saturday</v>
      </c>
      <c r="H537" t="str">
        <f t="shared" si="25"/>
        <v>June</v>
      </c>
    </row>
    <row r="538" spans="1:8" x14ac:dyDescent="0.35">
      <c r="A538" s="1">
        <v>46201</v>
      </c>
      <c r="B538" t="s">
        <v>13</v>
      </c>
      <c r="C538" t="s">
        <v>16</v>
      </c>
      <c r="D538">
        <v>2</v>
      </c>
      <c r="E538" s="4">
        <v>4.75</v>
      </c>
      <c r="F538" s="4">
        <v>9.5</v>
      </c>
      <c r="G538" t="str">
        <f t="shared" si="24"/>
        <v>Sunday</v>
      </c>
      <c r="H538" t="str">
        <f t="shared" si="25"/>
        <v>June</v>
      </c>
    </row>
    <row r="539" spans="1:8" x14ac:dyDescent="0.35">
      <c r="A539" s="1">
        <v>46201</v>
      </c>
      <c r="B539" t="s">
        <v>6</v>
      </c>
      <c r="C539" t="s">
        <v>16</v>
      </c>
      <c r="D539">
        <v>2</v>
      </c>
      <c r="E539" s="4">
        <v>4.5</v>
      </c>
      <c r="F539" s="4">
        <v>9</v>
      </c>
      <c r="G539" t="str">
        <f t="shared" si="24"/>
        <v>Sunday</v>
      </c>
      <c r="H539" t="str">
        <f t="shared" si="25"/>
        <v>June</v>
      </c>
    </row>
    <row r="540" spans="1:8" x14ac:dyDescent="0.35">
      <c r="A540" s="1">
        <v>46201</v>
      </c>
      <c r="B540" t="s">
        <v>12</v>
      </c>
      <c r="C540" t="s">
        <v>17</v>
      </c>
      <c r="D540">
        <v>6</v>
      </c>
      <c r="E540" s="4">
        <v>2.5</v>
      </c>
      <c r="F540" s="4">
        <v>15</v>
      </c>
      <c r="G540" t="str">
        <f t="shared" si="24"/>
        <v>Sunday</v>
      </c>
      <c r="H540" t="str">
        <f t="shared" si="25"/>
        <v>June</v>
      </c>
    </row>
    <row r="541" spans="1:8" x14ac:dyDescent="0.35">
      <c r="A541" s="1">
        <v>46202</v>
      </c>
      <c r="B541" t="s">
        <v>15</v>
      </c>
      <c r="C541" t="s">
        <v>16</v>
      </c>
      <c r="D541">
        <v>3</v>
      </c>
      <c r="E541" s="4">
        <v>4.5</v>
      </c>
      <c r="F541" s="4">
        <v>13.5</v>
      </c>
      <c r="G541" t="str">
        <f t="shared" si="24"/>
        <v>Monday</v>
      </c>
      <c r="H541" t="str">
        <f t="shared" si="25"/>
        <v>June</v>
      </c>
    </row>
    <row r="542" spans="1:8" x14ac:dyDescent="0.35">
      <c r="A542" s="1">
        <v>46202</v>
      </c>
      <c r="B542" t="s">
        <v>10</v>
      </c>
      <c r="C542" t="s">
        <v>17</v>
      </c>
      <c r="D542">
        <v>1</v>
      </c>
      <c r="E542" s="4">
        <v>3.25</v>
      </c>
      <c r="F542" s="4">
        <v>3.25</v>
      </c>
      <c r="G542" t="str">
        <f t="shared" si="24"/>
        <v>Monday</v>
      </c>
      <c r="H542" t="str">
        <f t="shared" si="25"/>
        <v>June</v>
      </c>
    </row>
    <row r="543" spans="1:8" x14ac:dyDescent="0.35">
      <c r="A543" s="1">
        <v>46202</v>
      </c>
      <c r="B543" t="s">
        <v>14</v>
      </c>
      <c r="C543" t="s">
        <v>16</v>
      </c>
      <c r="D543">
        <v>4</v>
      </c>
      <c r="E543" s="4">
        <v>5.5</v>
      </c>
      <c r="F543" s="4">
        <v>22</v>
      </c>
      <c r="G543" t="str">
        <f t="shared" si="24"/>
        <v>Monday</v>
      </c>
      <c r="H543" t="str">
        <f t="shared" si="25"/>
        <v>June</v>
      </c>
    </row>
    <row r="544" spans="1:8" x14ac:dyDescent="0.35">
      <c r="A544" s="1">
        <v>46203</v>
      </c>
      <c r="B544" t="s">
        <v>9</v>
      </c>
      <c r="C544" t="s">
        <v>17</v>
      </c>
      <c r="D544">
        <v>5</v>
      </c>
      <c r="E544" s="4">
        <v>3.75</v>
      </c>
      <c r="F544" s="4">
        <v>18.75</v>
      </c>
      <c r="G544" t="str">
        <f t="shared" si="24"/>
        <v>Tuesday</v>
      </c>
      <c r="H544" t="str">
        <f t="shared" si="25"/>
        <v>June</v>
      </c>
    </row>
    <row r="545" spans="1:8" x14ac:dyDescent="0.35">
      <c r="A545" s="1">
        <v>46203</v>
      </c>
      <c r="B545" t="s">
        <v>11</v>
      </c>
      <c r="C545" t="s">
        <v>18</v>
      </c>
      <c r="D545">
        <v>3</v>
      </c>
      <c r="E545" s="4">
        <v>6.5</v>
      </c>
      <c r="F545" s="4">
        <v>19.5</v>
      </c>
      <c r="G545" t="str">
        <f t="shared" si="24"/>
        <v>Tuesday</v>
      </c>
      <c r="H545" t="str">
        <f t="shared" si="25"/>
        <v>June</v>
      </c>
    </row>
    <row r="546" spans="1:8" x14ac:dyDescent="0.35">
      <c r="A546" s="1">
        <v>46203</v>
      </c>
      <c r="B546" t="s">
        <v>7</v>
      </c>
      <c r="C546" t="s">
        <v>16</v>
      </c>
      <c r="D546">
        <v>4</v>
      </c>
      <c r="E546" s="4">
        <v>3.5</v>
      </c>
      <c r="F546" s="4">
        <v>14</v>
      </c>
      <c r="G546" t="str">
        <f t="shared" si="24"/>
        <v>Tuesday</v>
      </c>
      <c r="H546" t="str">
        <f t="shared" si="25"/>
        <v>June</v>
      </c>
    </row>
  </sheetData>
  <mergeCells count="1">
    <mergeCell ref="A1:H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C1B82-38B0-4D32-B6AF-5F6CC7811B8D}">
  <dimension ref="A1:G213"/>
  <sheetViews>
    <sheetView zoomScale="87" zoomScaleNormal="115" workbookViewId="0">
      <selection activeCell="V2" sqref="V2"/>
    </sheetView>
  </sheetViews>
  <sheetFormatPr defaultRowHeight="14.5" x14ac:dyDescent="0.35"/>
  <cols>
    <col min="1" max="1" width="12.453125" bestFit="1" customWidth="1"/>
    <col min="2" max="2" width="14.26953125" bestFit="1" customWidth="1"/>
    <col min="6" max="6" width="12.453125" bestFit="1" customWidth="1"/>
    <col min="7" max="7" width="14.36328125" bestFit="1" customWidth="1"/>
  </cols>
  <sheetData>
    <row r="1" spans="1:7" x14ac:dyDescent="0.35">
      <c r="A1" s="36" t="s">
        <v>47</v>
      </c>
      <c r="B1" s="36"/>
      <c r="F1" s="38" t="s">
        <v>49</v>
      </c>
      <c r="G1" s="38"/>
    </row>
    <row r="3" spans="1:7" x14ac:dyDescent="0.35">
      <c r="A3" s="2" t="s">
        <v>21</v>
      </c>
      <c r="B3" t="s">
        <v>29</v>
      </c>
      <c r="F3" s="2" t="s">
        <v>21</v>
      </c>
      <c r="G3" t="s">
        <v>29</v>
      </c>
    </row>
    <row r="4" spans="1:7" x14ac:dyDescent="0.35">
      <c r="A4" s="3" t="s">
        <v>22</v>
      </c>
      <c r="B4" s="4">
        <v>1260.5</v>
      </c>
      <c r="F4" s="3" t="s">
        <v>7</v>
      </c>
      <c r="G4" s="4">
        <v>598.5</v>
      </c>
    </row>
    <row r="5" spans="1:7" x14ac:dyDescent="0.35">
      <c r="A5" s="3" t="s">
        <v>23</v>
      </c>
      <c r="B5" s="4">
        <v>1170</v>
      </c>
      <c r="F5" s="3" t="s">
        <v>6</v>
      </c>
      <c r="G5" s="4">
        <v>652.5</v>
      </c>
    </row>
    <row r="6" spans="1:7" x14ac:dyDescent="0.35">
      <c r="A6" s="3" t="s">
        <v>24</v>
      </c>
      <c r="B6" s="4">
        <v>1310.5</v>
      </c>
      <c r="F6" s="3" t="s">
        <v>12</v>
      </c>
      <c r="G6" s="4">
        <v>1047.5</v>
      </c>
    </row>
    <row r="7" spans="1:7" x14ac:dyDescent="0.35">
      <c r="A7" s="3" t="s">
        <v>25</v>
      </c>
      <c r="B7" s="4">
        <v>1282</v>
      </c>
      <c r="F7" s="3" t="s">
        <v>9</v>
      </c>
      <c r="G7" s="4">
        <v>626.25</v>
      </c>
    </row>
    <row r="8" spans="1:7" x14ac:dyDescent="0.35">
      <c r="A8" s="3" t="s">
        <v>26</v>
      </c>
      <c r="B8" s="4">
        <v>1342.75</v>
      </c>
      <c r="F8" s="3" t="s">
        <v>8</v>
      </c>
      <c r="G8" s="4">
        <v>646</v>
      </c>
    </row>
    <row r="9" spans="1:7" x14ac:dyDescent="0.35">
      <c r="A9" s="3" t="s">
        <v>27</v>
      </c>
      <c r="B9" s="4">
        <v>1279.25</v>
      </c>
      <c r="F9" s="3" t="s">
        <v>13</v>
      </c>
      <c r="G9" s="4">
        <v>769.5</v>
      </c>
    </row>
    <row r="10" spans="1:7" x14ac:dyDescent="0.35">
      <c r="A10" s="3" t="s">
        <v>28</v>
      </c>
      <c r="B10" s="4">
        <v>7645</v>
      </c>
      <c r="F10" s="3" t="s">
        <v>15</v>
      </c>
      <c r="G10" s="4">
        <v>742.5</v>
      </c>
    </row>
    <row r="11" spans="1:7" x14ac:dyDescent="0.35">
      <c r="F11" s="3" t="s">
        <v>10</v>
      </c>
      <c r="G11" s="4">
        <v>510.25</v>
      </c>
    </row>
    <row r="12" spans="1:7" x14ac:dyDescent="0.35">
      <c r="F12" s="3" t="s">
        <v>11</v>
      </c>
      <c r="G12" s="4">
        <v>1111.5</v>
      </c>
    </row>
    <row r="13" spans="1:7" x14ac:dyDescent="0.35">
      <c r="F13" s="3" t="s">
        <v>14</v>
      </c>
      <c r="G13" s="4">
        <v>940.5</v>
      </c>
    </row>
    <row r="14" spans="1:7" x14ac:dyDescent="0.35">
      <c r="F14" s="3" t="s">
        <v>28</v>
      </c>
      <c r="G14" s="4">
        <v>7645</v>
      </c>
    </row>
    <row r="17" spans="1:7" x14ac:dyDescent="0.35">
      <c r="A17" s="38" t="s">
        <v>48</v>
      </c>
      <c r="B17" s="38"/>
      <c r="F17" s="36" t="s">
        <v>50</v>
      </c>
      <c r="G17" s="36"/>
    </row>
    <row r="19" spans="1:7" x14ac:dyDescent="0.35">
      <c r="A19" s="2" t="s">
        <v>21</v>
      </c>
      <c r="B19" t="s">
        <v>29</v>
      </c>
      <c r="F19" s="2" t="s">
        <v>21</v>
      </c>
      <c r="G19" t="s">
        <v>29</v>
      </c>
    </row>
    <row r="20" spans="1:7" x14ac:dyDescent="0.35">
      <c r="A20" s="3" t="s">
        <v>18</v>
      </c>
      <c r="B20" s="4">
        <v>1111.5</v>
      </c>
      <c r="F20" s="3" t="s">
        <v>30</v>
      </c>
      <c r="G20" s="4">
        <v>1015.25</v>
      </c>
    </row>
    <row r="21" spans="1:7" x14ac:dyDescent="0.35">
      <c r="A21" s="3" t="s">
        <v>17</v>
      </c>
      <c r="B21" s="4">
        <v>2184</v>
      </c>
      <c r="F21" s="3" t="s">
        <v>31</v>
      </c>
      <c r="G21" s="4">
        <v>1087.5</v>
      </c>
    </row>
    <row r="22" spans="1:7" x14ac:dyDescent="0.35">
      <c r="A22" s="3" t="s">
        <v>16</v>
      </c>
      <c r="B22" s="4">
        <v>4349.5</v>
      </c>
      <c r="F22" s="3" t="s">
        <v>32</v>
      </c>
      <c r="G22" s="4">
        <v>986.25</v>
      </c>
    </row>
    <row r="23" spans="1:7" x14ac:dyDescent="0.35">
      <c r="A23" s="3" t="s">
        <v>28</v>
      </c>
      <c r="B23" s="4">
        <v>7645</v>
      </c>
      <c r="F23" s="3" t="s">
        <v>33</v>
      </c>
      <c r="G23" s="4">
        <v>1184.25</v>
      </c>
    </row>
    <row r="24" spans="1:7" x14ac:dyDescent="0.35">
      <c r="F24" s="3" t="s">
        <v>34</v>
      </c>
      <c r="G24" s="4">
        <v>1067.75</v>
      </c>
    </row>
    <row r="25" spans="1:7" x14ac:dyDescent="0.35">
      <c r="F25" s="3" t="s">
        <v>35</v>
      </c>
      <c r="G25" s="4">
        <v>1194.75</v>
      </c>
    </row>
    <row r="26" spans="1:7" x14ac:dyDescent="0.35">
      <c r="F26" s="3" t="s">
        <v>36</v>
      </c>
      <c r="G26" s="4">
        <v>1109.25</v>
      </c>
    </row>
    <row r="27" spans="1:7" x14ac:dyDescent="0.35">
      <c r="F27" s="3" t="s">
        <v>28</v>
      </c>
      <c r="G27" s="4">
        <v>7645</v>
      </c>
    </row>
    <row r="29" spans="1:7" x14ac:dyDescent="0.35">
      <c r="A29" s="36" t="s">
        <v>54</v>
      </c>
      <c r="B29" s="36"/>
    </row>
    <row r="31" spans="1:7" x14ac:dyDescent="0.35">
      <c r="A31" s="2" t="s">
        <v>21</v>
      </c>
      <c r="B31" t="s">
        <v>51</v>
      </c>
    </row>
    <row r="32" spans="1:7" x14ac:dyDescent="0.35">
      <c r="A32" s="21">
        <v>46023</v>
      </c>
      <c r="B32">
        <v>7</v>
      </c>
    </row>
    <row r="33" spans="1:2" x14ac:dyDescent="0.35">
      <c r="A33" s="21">
        <v>46024</v>
      </c>
      <c r="B33">
        <v>9</v>
      </c>
    </row>
    <row r="34" spans="1:2" x14ac:dyDescent="0.35">
      <c r="A34" s="21">
        <v>46025</v>
      </c>
      <c r="B34">
        <v>13</v>
      </c>
    </row>
    <row r="35" spans="1:2" x14ac:dyDescent="0.35">
      <c r="A35" s="21">
        <v>46026</v>
      </c>
      <c r="B35">
        <v>9</v>
      </c>
    </row>
    <row r="36" spans="1:2" x14ac:dyDescent="0.35">
      <c r="A36" s="21">
        <v>46027</v>
      </c>
      <c r="B36">
        <v>9</v>
      </c>
    </row>
    <row r="37" spans="1:2" x14ac:dyDescent="0.35">
      <c r="A37" s="21">
        <v>46028</v>
      </c>
      <c r="B37">
        <v>9</v>
      </c>
    </row>
    <row r="38" spans="1:2" x14ac:dyDescent="0.35">
      <c r="A38" s="21">
        <v>46029</v>
      </c>
      <c r="B38">
        <v>8</v>
      </c>
    </row>
    <row r="39" spans="1:2" x14ac:dyDescent="0.35">
      <c r="A39" s="21">
        <v>46030</v>
      </c>
      <c r="B39">
        <v>13</v>
      </c>
    </row>
    <row r="40" spans="1:2" x14ac:dyDescent="0.35">
      <c r="A40" s="21">
        <v>46031</v>
      </c>
      <c r="B40">
        <v>9</v>
      </c>
    </row>
    <row r="41" spans="1:2" x14ac:dyDescent="0.35">
      <c r="A41" s="21">
        <v>46032</v>
      </c>
      <c r="B41">
        <v>9</v>
      </c>
    </row>
    <row r="42" spans="1:2" x14ac:dyDescent="0.35">
      <c r="A42" s="21">
        <v>46033</v>
      </c>
      <c r="B42">
        <v>12</v>
      </c>
    </row>
    <row r="43" spans="1:2" x14ac:dyDescent="0.35">
      <c r="A43" s="21">
        <v>46034</v>
      </c>
      <c r="B43">
        <v>8</v>
      </c>
    </row>
    <row r="44" spans="1:2" x14ac:dyDescent="0.35">
      <c r="A44" s="21">
        <v>46035</v>
      </c>
      <c r="B44">
        <v>9</v>
      </c>
    </row>
    <row r="45" spans="1:2" x14ac:dyDescent="0.35">
      <c r="A45" s="21">
        <v>46036</v>
      </c>
      <c r="B45">
        <v>11</v>
      </c>
    </row>
    <row r="46" spans="1:2" x14ac:dyDescent="0.35">
      <c r="A46" s="21">
        <v>46037</v>
      </c>
      <c r="B46">
        <v>11</v>
      </c>
    </row>
    <row r="47" spans="1:2" x14ac:dyDescent="0.35">
      <c r="A47" s="21">
        <v>46038</v>
      </c>
      <c r="B47">
        <v>10</v>
      </c>
    </row>
    <row r="48" spans="1:2" x14ac:dyDescent="0.35">
      <c r="A48" s="21">
        <v>46039</v>
      </c>
      <c r="B48">
        <v>7</v>
      </c>
    </row>
    <row r="49" spans="1:2" x14ac:dyDescent="0.35">
      <c r="A49" s="21">
        <v>46040</v>
      </c>
      <c r="B49">
        <v>17</v>
      </c>
    </row>
    <row r="50" spans="1:2" x14ac:dyDescent="0.35">
      <c r="A50" s="21">
        <v>46041</v>
      </c>
      <c r="B50">
        <v>8</v>
      </c>
    </row>
    <row r="51" spans="1:2" x14ac:dyDescent="0.35">
      <c r="A51" s="21">
        <v>46042</v>
      </c>
      <c r="B51">
        <v>9</v>
      </c>
    </row>
    <row r="52" spans="1:2" x14ac:dyDescent="0.35">
      <c r="A52" s="21">
        <v>46043</v>
      </c>
      <c r="B52">
        <v>10</v>
      </c>
    </row>
    <row r="53" spans="1:2" x14ac:dyDescent="0.35">
      <c r="A53" s="21">
        <v>46044</v>
      </c>
      <c r="B53">
        <v>11</v>
      </c>
    </row>
    <row r="54" spans="1:2" x14ac:dyDescent="0.35">
      <c r="A54" s="21">
        <v>46045</v>
      </c>
      <c r="B54">
        <v>9</v>
      </c>
    </row>
    <row r="55" spans="1:2" x14ac:dyDescent="0.35">
      <c r="A55" s="21">
        <v>46046</v>
      </c>
      <c r="B55">
        <v>13</v>
      </c>
    </row>
    <row r="56" spans="1:2" x14ac:dyDescent="0.35">
      <c r="A56" s="21">
        <v>46047</v>
      </c>
      <c r="B56">
        <v>8</v>
      </c>
    </row>
    <row r="57" spans="1:2" x14ac:dyDescent="0.35">
      <c r="A57" s="21">
        <v>46048</v>
      </c>
      <c r="B57">
        <v>11</v>
      </c>
    </row>
    <row r="58" spans="1:2" x14ac:dyDescent="0.35">
      <c r="A58" s="21">
        <v>46049</v>
      </c>
      <c r="B58">
        <v>9</v>
      </c>
    </row>
    <row r="59" spans="1:2" x14ac:dyDescent="0.35">
      <c r="A59" s="21">
        <v>46050</v>
      </c>
      <c r="B59">
        <v>11</v>
      </c>
    </row>
    <row r="60" spans="1:2" x14ac:dyDescent="0.35">
      <c r="A60" s="21">
        <v>46051</v>
      </c>
      <c r="B60">
        <v>7</v>
      </c>
    </row>
    <row r="61" spans="1:2" x14ac:dyDescent="0.35">
      <c r="A61" s="21">
        <v>46052</v>
      </c>
      <c r="B61">
        <v>10</v>
      </c>
    </row>
    <row r="62" spans="1:2" x14ac:dyDescent="0.35">
      <c r="A62" s="21">
        <v>46053</v>
      </c>
      <c r="B62">
        <v>16</v>
      </c>
    </row>
    <row r="63" spans="1:2" x14ac:dyDescent="0.35">
      <c r="A63" s="21">
        <v>46054</v>
      </c>
      <c r="B63">
        <v>9</v>
      </c>
    </row>
    <row r="64" spans="1:2" x14ac:dyDescent="0.35">
      <c r="A64" s="21">
        <v>46055</v>
      </c>
      <c r="B64">
        <v>7</v>
      </c>
    </row>
    <row r="65" spans="1:2" x14ac:dyDescent="0.35">
      <c r="A65" s="21">
        <v>46056</v>
      </c>
      <c r="B65">
        <v>15</v>
      </c>
    </row>
    <row r="66" spans="1:2" x14ac:dyDescent="0.35">
      <c r="A66" s="21">
        <v>46057</v>
      </c>
      <c r="B66">
        <v>9</v>
      </c>
    </row>
    <row r="67" spans="1:2" x14ac:dyDescent="0.35">
      <c r="A67" s="21">
        <v>46058</v>
      </c>
      <c r="B67">
        <v>9</v>
      </c>
    </row>
    <row r="68" spans="1:2" x14ac:dyDescent="0.35">
      <c r="A68" s="21">
        <v>46059</v>
      </c>
      <c r="B68">
        <v>9</v>
      </c>
    </row>
    <row r="69" spans="1:2" x14ac:dyDescent="0.35">
      <c r="A69" s="21">
        <v>46060</v>
      </c>
      <c r="B69">
        <v>16</v>
      </c>
    </row>
    <row r="70" spans="1:2" x14ac:dyDescent="0.35">
      <c r="A70" s="21">
        <v>46061</v>
      </c>
      <c r="B70">
        <v>8</v>
      </c>
    </row>
    <row r="71" spans="1:2" x14ac:dyDescent="0.35">
      <c r="A71" s="21">
        <v>46062</v>
      </c>
      <c r="B71">
        <v>8</v>
      </c>
    </row>
    <row r="72" spans="1:2" x14ac:dyDescent="0.35">
      <c r="A72" s="21">
        <v>46063</v>
      </c>
      <c r="B72">
        <v>10</v>
      </c>
    </row>
    <row r="73" spans="1:2" x14ac:dyDescent="0.35">
      <c r="A73" s="21">
        <v>46064</v>
      </c>
      <c r="B73">
        <v>9</v>
      </c>
    </row>
    <row r="74" spans="1:2" x14ac:dyDescent="0.35">
      <c r="A74" s="21">
        <v>46065</v>
      </c>
      <c r="B74">
        <v>11</v>
      </c>
    </row>
    <row r="75" spans="1:2" x14ac:dyDescent="0.35">
      <c r="A75" s="21">
        <v>46066</v>
      </c>
      <c r="B75">
        <v>14</v>
      </c>
    </row>
    <row r="76" spans="1:2" x14ac:dyDescent="0.35">
      <c r="A76" s="21">
        <v>46067</v>
      </c>
      <c r="B76">
        <v>11</v>
      </c>
    </row>
    <row r="77" spans="1:2" x14ac:dyDescent="0.35">
      <c r="A77" s="21">
        <v>46068</v>
      </c>
      <c r="B77">
        <v>5</v>
      </c>
    </row>
    <row r="78" spans="1:2" x14ac:dyDescent="0.35">
      <c r="A78" s="21">
        <v>46069</v>
      </c>
      <c r="B78">
        <v>12</v>
      </c>
    </row>
    <row r="79" spans="1:2" x14ac:dyDescent="0.35">
      <c r="A79" s="21">
        <v>46070</v>
      </c>
      <c r="B79">
        <v>8</v>
      </c>
    </row>
    <row r="80" spans="1:2" x14ac:dyDescent="0.35">
      <c r="A80" s="21">
        <v>46071</v>
      </c>
      <c r="B80">
        <v>12</v>
      </c>
    </row>
    <row r="81" spans="1:2" x14ac:dyDescent="0.35">
      <c r="A81" s="21">
        <v>46072</v>
      </c>
      <c r="B81">
        <v>8</v>
      </c>
    </row>
    <row r="82" spans="1:2" x14ac:dyDescent="0.35">
      <c r="A82" s="21">
        <v>46073</v>
      </c>
      <c r="B82">
        <v>16</v>
      </c>
    </row>
    <row r="83" spans="1:2" x14ac:dyDescent="0.35">
      <c r="A83" s="21">
        <v>46074</v>
      </c>
      <c r="B83">
        <v>6</v>
      </c>
    </row>
    <row r="84" spans="1:2" x14ac:dyDescent="0.35">
      <c r="A84" s="21">
        <v>46075</v>
      </c>
      <c r="B84">
        <v>10</v>
      </c>
    </row>
    <row r="85" spans="1:2" x14ac:dyDescent="0.35">
      <c r="A85" s="21">
        <v>46076</v>
      </c>
      <c r="B85">
        <v>13</v>
      </c>
    </row>
    <row r="86" spans="1:2" x14ac:dyDescent="0.35">
      <c r="A86" s="21">
        <v>46077</v>
      </c>
      <c r="B86">
        <v>7</v>
      </c>
    </row>
    <row r="87" spans="1:2" x14ac:dyDescent="0.35">
      <c r="A87" s="21">
        <v>46078</v>
      </c>
      <c r="B87">
        <v>9</v>
      </c>
    </row>
    <row r="88" spans="1:2" x14ac:dyDescent="0.35">
      <c r="A88" s="21">
        <v>46079</v>
      </c>
      <c r="B88">
        <v>10</v>
      </c>
    </row>
    <row r="89" spans="1:2" x14ac:dyDescent="0.35">
      <c r="A89" s="21">
        <v>46080</v>
      </c>
      <c r="B89">
        <v>13</v>
      </c>
    </row>
    <row r="90" spans="1:2" x14ac:dyDescent="0.35">
      <c r="A90" s="21">
        <v>46081</v>
      </c>
      <c r="B90">
        <v>10</v>
      </c>
    </row>
    <row r="91" spans="1:2" x14ac:dyDescent="0.35">
      <c r="A91" s="21">
        <v>46082</v>
      </c>
      <c r="B91">
        <v>9</v>
      </c>
    </row>
    <row r="92" spans="1:2" x14ac:dyDescent="0.35">
      <c r="A92" s="21">
        <v>46083</v>
      </c>
      <c r="B92">
        <v>17</v>
      </c>
    </row>
    <row r="93" spans="1:2" x14ac:dyDescent="0.35">
      <c r="A93" s="21">
        <v>46084</v>
      </c>
      <c r="B93">
        <v>9</v>
      </c>
    </row>
    <row r="94" spans="1:2" x14ac:dyDescent="0.35">
      <c r="A94" s="21">
        <v>46085</v>
      </c>
      <c r="B94">
        <v>7</v>
      </c>
    </row>
    <row r="95" spans="1:2" x14ac:dyDescent="0.35">
      <c r="A95" s="21">
        <v>46086</v>
      </c>
      <c r="B95">
        <v>14</v>
      </c>
    </row>
    <row r="96" spans="1:2" x14ac:dyDescent="0.35">
      <c r="A96" s="21">
        <v>46087</v>
      </c>
      <c r="B96">
        <v>9</v>
      </c>
    </row>
    <row r="97" spans="1:2" x14ac:dyDescent="0.35">
      <c r="A97" s="21">
        <v>46088</v>
      </c>
      <c r="B97">
        <v>8</v>
      </c>
    </row>
    <row r="98" spans="1:2" x14ac:dyDescent="0.35">
      <c r="A98" s="21">
        <v>46089</v>
      </c>
      <c r="B98">
        <v>11</v>
      </c>
    </row>
    <row r="99" spans="1:2" x14ac:dyDescent="0.35">
      <c r="A99" s="21">
        <v>46090</v>
      </c>
      <c r="B99">
        <v>12</v>
      </c>
    </row>
    <row r="100" spans="1:2" x14ac:dyDescent="0.35">
      <c r="A100" s="21">
        <v>46091</v>
      </c>
      <c r="B100">
        <v>11</v>
      </c>
    </row>
    <row r="101" spans="1:2" x14ac:dyDescent="0.35">
      <c r="A101" s="21">
        <v>46092</v>
      </c>
      <c r="B101">
        <v>6</v>
      </c>
    </row>
    <row r="102" spans="1:2" x14ac:dyDescent="0.35">
      <c r="A102" s="21">
        <v>46093</v>
      </c>
      <c r="B102">
        <v>18</v>
      </c>
    </row>
    <row r="103" spans="1:2" x14ac:dyDescent="0.35">
      <c r="A103" s="21">
        <v>46094</v>
      </c>
      <c r="B103">
        <v>10</v>
      </c>
    </row>
    <row r="104" spans="1:2" x14ac:dyDescent="0.35">
      <c r="A104" s="21">
        <v>46095</v>
      </c>
      <c r="B104">
        <v>10</v>
      </c>
    </row>
    <row r="105" spans="1:2" x14ac:dyDescent="0.35">
      <c r="A105" s="21">
        <v>46096</v>
      </c>
      <c r="B105">
        <v>10</v>
      </c>
    </row>
    <row r="106" spans="1:2" x14ac:dyDescent="0.35">
      <c r="A106" s="21">
        <v>46097</v>
      </c>
      <c r="B106">
        <v>8</v>
      </c>
    </row>
    <row r="107" spans="1:2" x14ac:dyDescent="0.35">
      <c r="A107" s="21">
        <v>46098</v>
      </c>
      <c r="B107">
        <v>10</v>
      </c>
    </row>
    <row r="108" spans="1:2" x14ac:dyDescent="0.35">
      <c r="A108" s="21">
        <v>46099</v>
      </c>
      <c r="B108">
        <v>7</v>
      </c>
    </row>
    <row r="109" spans="1:2" x14ac:dyDescent="0.35">
      <c r="A109" s="21">
        <v>46100</v>
      </c>
      <c r="B109">
        <v>16</v>
      </c>
    </row>
    <row r="110" spans="1:2" x14ac:dyDescent="0.35">
      <c r="A110" s="21">
        <v>46101</v>
      </c>
      <c r="B110">
        <v>10</v>
      </c>
    </row>
    <row r="111" spans="1:2" x14ac:dyDescent="0.35">
      <c r="A111" s="21">
        <v>46102</v>
      </c>
      <c r="B111">
        <v>12</v>
      </c>
    </row>
    <row r="112" spans="1:2" x14ac:dyDescent="0.35">
      <c r="A112" s="21">
        <v>46103</v>
      </c>
      <c r="B112">
        <v>13</v>
      </c>
    </row>
    <row r="113" spans="1:2" x14ac:dyDescent="0.35">
      <c r="A113" s="21">
        <v>46104</v>
      </c>
      <c r="B113">
        <v>8</v>
      </c>
    </row>
    <row r="114" spans="1:2" x14ac:dyDescent="0.35">
      <c r="A114" s="21">
        <v>46105</v>
      </c>
      <c r="B114">
        <v>6</v>
      </c>
    </row>
    <row r="115" spans="1:2" x14ac:dyDescent="0.35">
      <c r="A115" s="21">
        <v>46106</v>
      </c>
      <c r="B115">
        <v>18</v>
      </c>
    </row>
    <row r="116" spans="1:2" x14ac:dyDescent="0.35">
      <c r="A116" s="21">
        <v>46107</v>
      </c>
      <c r="B116">
        <v>9</v>
      </c>
    </row>
    <row r="117" spans="1:2" x14ac:dyDescent="0.35">
      <c r="A117" s="21">
        <v>46108</v>
      </c>
      <c r="B117">
        <v>11</v>
      </c>
    </row>
    <row r="118" spans="1:2" x14ac:dyDescent="0.35">
      <c r="A118" s="21">
        <v>46109</v>
      </c>
      <c r="B118">
        <v>8</v>
      </c>
    </row>
    <row r="119" spans="1:2" x14ac:dyDescent="0.35">
      <c r="A119" s="21">
        <v>46110</v>
      </c>
      <c r="B119">
        <v>11</v>
      </c>
    </row>
    <row r="120" spans="1:2" x14ac:dyDescent="0.35">
      <c r="A120" s="21">
        <v>46111</v>
      </c>
      <c r="B120">
        <v>9</v>
      </c>
    </row>
    <row r="121" spans="1:2" x14ac:dyDescent="0.35">
      <c r="A121" s="21">
        <v>46112</v>
      </c>
      <c r="B121">
        <v>8</v>
      </c>
    </row>
    <row r="122" spans="1:2" x14ac:dyDescent="0.35">
      <c r="A122" s="21">
        <v>46113</v>
      </c>
      <c r="B122">
        <v>11</v>
      </c>
    </row>
    <row r="123" spans="1:2" x14ac:dyDescent="0.35">
      <c r="A123" s="21">
        <v>46114</v>
      </c>
      <c r="B123">
        <v>6</v>
      </c>
    </row>
    <row r="124" spans="1:2" x14ac:dyDescent="0.35">
      <c r="A124" s="21">
        <v>46115</v>
      </c>
      <c r="B124">
        <v>11</v>
      </c>
    </row>
    <row r="125" spans="1:2" x14ac:dyDescent="0.35">
      <c r="A125" s="21">
        <v>46116</v>
      </c>
      <c r="B125">
        <v>15</v>
      </c>
    </row>
    <row r="126" spans="1:2" x14ac:dyDescent="0.35">
      <c r="A126" s="21">
        <v>46117</v>
      </c>
      <c r="B126">
        <v>12</v>
      </c>
    </row>
    <row r="127" spans="1:2" x14ac:dyDescent="0.35">
      <c r="A127" s="21">
        <v>46118</v>
      </c>
      <c r="B127">
        <v>7</v>
      </c>
    </row>
    <row r="128" spans="1:2" x14ac:dyDescent="0.35">
      <c r="A128" s="21">
        <v>46119</v>
      </c>
      <c r="B128">
        <v>10</v>
      </c>
    </row>
    <row r="129" spans="1:2" x14ac:dyDescent="0.35">
      <c r="A129" s="21">
        <v>46120</v>
      </c>
      <c r="B129">
        <v>13</v>
      </c>
    </row>
    <row r="130" spans="1:2" x14ac:dyDescent="0.35">
      <c r="A130" s="21">
        <v>46121</v>
      </c>
      <c r="B130">
        <v>8</v>
      </c>
    </row>
    <row r="131" spans="1:2" x14ac:dyDescent="0.35">
      <c r="A131" s="21">
        <v>46122</v>
      </c>
      <c r="B131">
        <v>8</v>
      </c>
    </row>
    <row r="132" spans="1:2" x14ac:dyDescent="0.35">
      <c r="A132" s="21">
        <v>46123</v>
      </c>
      <c r="B132">
        <v>16</v>
      </c>
    </row>
    <row r="133" spans="1:2" x14ac:dyDescent="0.35">
      <c r="A133" s="21">
        <v>46124</v>
      </c>
      <c r="B133">
        <v>10</v>
      </c>
    </row>
    <row r="134" spans="1:2" x14ac:dyDescent="0.35">
      <c r="A134" s="21">
        <v>46125</v>
      </c>
      <c r="B134">
        <v>6</v>
      </c>
    </row>
    <row r="135" spans="1:2" x14ac:dyDescent="0.35">
      <c r="A135" s="21">
        <v>46126</v>
      </c>
      <c r="B135">
        <v>15</v>
      </c>
    </row>
    <row r="136" spans="1:2" x14ac:dyDescent="0.35">
      <c r="A136" s="21">
        <v>46127</v>
      </c>
      <c r="B136">
        <v>9</v>
      </c>
    </row>
    <row r="137" spans="1:2" x14ac:dyDescent="0.35">
      <c r="A137" s="21">
        <v>46128</v>
      </c>
      <c r="B137">
        <v>8</v>
      </c>
    </row>
    <row r="138" spans="1:2" x14ac:dyDescent="0.35">
      <c r="A138" s="21">
        <v>46129</v>
      </c>
      <c r="B138">
        <v>9</v>
      </c>
    </row>
    <row r="139" spans="1:2" x14ac:dyDescent="0.35">
      <c r="A139" s="21">
        <v>46130</v>
      </c>
      <c r="B139">
        <v>17</v>
      </c>
    </row>
    <row r="140" spans="1:2" x14ac:dyDescent="0.35">
      <c r="A140" s="21">
        <v>46131</v>
      </c>
      <c r="B140">
        <v>10</v>
      </c>
    </row>
    <row r="141" spans="1:2" x14ac:dyDescent="0.35">
      <c r="A141" s="21">
        <v>46132</v>
      </c>
      <c r="B141">
        <v>9</v>
      </c>
    </row>
    <row r="142" spans="1:2" x14ac:dyDescent="0.35">
      <c r="A142" s="21">
        <v>46133</v>
      </c>
      <c r="B142">
        <v>11</v>
      </c>
    </row>
    <row r="143" spans="1:2" x14ac:dyDescent="0.35">
      <c r="A143" s="21">
        <v>46134</v>
      </c>
      <c r="B143">
        <v>11</v>
      </c>
    </row>
    <row r="144" spans="1:2" x14ac:dyDescent="0.35">
      <c r="A144" s="21">
        <v>46135</v>
      </c>
      <c r="B144">
        <v>10</v>
      </c>
    </row>
    <row r="145" spans="1:2" x14ac:dyDescent="0.35">
      <c r="A145" s="21">
        <v>46136</v>
      </c>
      <c r="B145">
        <v>12</v>
      </c>
    </row>
    <row r="146" spans="1:2" x14ac:dyDescent="0.35">
      <c r="A146" s="21">
        <v>46137</v>
      </c>
      <c r="B146">
        <v>8</v>
      </c>
    </row>
    <row r="147" spans="1:2" x14ac:dyDescent="0.35">
      <c r="A147" s="21">
        <v>46138</v>
      </c>
      <c r="B147">
        <v>11</v>
      </c>
    </row>
    <row r="148" spans="1:2" x14ac:dyDescent="0.35">
      <c r="A148" s="21">
        <v>46139</v>
      </c>
      <c r="B148">
        <v>7</v>
      </c>
    </row>
    <row r="149" spans="1:2" x14ac:dyDescent="0.35">
      <c r="A149" s="21">
        <v>46140</v>
      </c>
      <c r="B149">
        <v>18</v>
      </c>
    </row>
    <row r="150" spans="1:2" x14ac:dyDescent="0.35">
      <c r="A150" s="21">
        <v>46141</v>
      </c>
      <c r="B150">
        <v>8</v>
      </c>
    </row>
    <row r="151" spans="1:2" x14ac:dyDescent="0.35">
      <c r="A151" s="21">
        <v>46142</v>
      </c>
      <c r="B151">
        <v>11</v>
      </c>
    </row>
    <row r="152" spans="1:2" x14ac:dyDescent="0.35">
      <c r="A152" s="21">
        <v>46143</v>
      </c>
      <c r="B152">
        <v>6</v>
      </c>
    </row>
    <row r="153" spans="1:2" x14ac:dyDescent="0.35">
      <c r="A153" s="21">
        <v>46144</v>
      </c>
      <c r="B153">
        <v>10</v>
      </c>
    </row>
    <row r="154" spans="1:2" x14ac:dyDescent="0.35">
      <c r="A154" s="21">
        <v>46145</v>
      </c>
      <c r="B154">
        <v>12</v>
      </c>
    </row>
    <row r="155" spans="1:2" x14ac:dyDescent="0.35">
      <c r="A155" s="21">
        <v>46146</v>
      </c>
      <c r="B155">
        <v>13</v>
      </c>
    </row>
    <row r="156" spans="1:2" x14ac:dyDescent="0.35">
      <c r="A156" s="21">
        <v>46147</v>
      </c>
      <c r="B156">
        <v>9</v>
      </c>
    </row>
    <row r="157" spans="1:2" x14ac:dyDescent="0.35">
      <c r="A157" s="21">
        <v>46148</v>
      </c>
      <c r="B157">
        <v>10</v>
      </c>
    </row>
    <row r="158" spans="1:2" x14ac:dyDescent="0.35">
      <c r="A158" s="21">
        <v>46149</v>
      </c>
      <c r="B158">
        <v>16</v>
      </c>
    </row>
    <row r="159" spans="1:2" x14ac:dyDescent="0.35">
      <c r="A159" s="21">
        <v>46150</v>
      </c>
      <c r="B159">
        <v>8</v>
      </c>
    </row>
    <row r="160" spans="1:2" x14ac:dyDescent="0.35">
      <c r="A160" s="21">
        <v>46151</v>
      </c>
      <c r="B160">
        <v>8</v>
      </c>
    </row>
    <row r="161" spans="1:2" x14ac:dyDescent="0.35">
      <c r="A161" s="21">
        <v>46152</v>
      </c>
      <c r="B161">
        <v>16</v>
      </c>
    </row>
    <row r="162" spans="1:2" x14ac:dyDescent="0.35">
      <c r="A162" s="21">
        <v>46153</v>
      </c>
      <c r="B162">
        <v>6</v>
      </c>
    </row>
    <row r="163" spans="1:2" x14ac:dyDescent="0.35">
      <c r="A163" s="21">
        <v>46154</v>
      </c>
      <c r="B163">
        <v>11</v>
      </c>
    </row>
    <row r="164" spans="1:2" x14ac:dyDescent="0.35">
      <c r="A164" s="21">
        <v>46155</v>
      </c>
      <c r="B164">
        <v>9</v>
      </c>
    </row>
    <row r="165" spans="1:2" x14ac:dyDescent="0.35">
      <c r="A165" s="21">
        <v>46156</v>
      </c>
      <c r="B165">
        <v>18</v>
      </c>
    </row>
    <row r="166" spans="1:2" x14ac:dyDescent="0.35">
      <c r="A166" s="21">
        <v>46157</v>
      </c>
      <c r="B166">
        <v>8</v>
      </c>
    </row>
    <row r="167" spans="1:2" x14ac:dyDescent="0.35">
      <c r="A167" s="21">
        <v>46158</v>
      </c>
      <c r="B167">
        <v>9</v>
      </c>
    </row>
    <row r="168" spans="1:2" x14ac:dyDescent="0.35">
      <c r="A168" s="21">
        <v>46159</v>
      </c>
      <c r="B168">
        <v>9</v>
      </c>
    </row>
    <row r="169" spans="1:2" x14ac:dyDescent="0.35">
      <c r="A169" s="21">
        <v>46160</v>
      </c>
      <c r="B169">
        <v>11</v>
      </c>
    </row>
    <row r="170" spans="1:2" x14ac:dyDescent="0.35">
      <c r="A170" s="21">
        <v>46161</v>
      </c>
      <c r="B170">
        <v>8</v>
      </c>
    </row>
    <row r="171" spans="1:2" x14ac:dyDescent="0.35">
      <c r="A171" s="21">
        <v>46162</v>
      </c>
      <c r="B171">
        <v>13</v>
      </c>
    </row>
    <row r="172" spans="1:2" x14ac:dyDescent="0.35">
      <c r="A172" s="21">
        <v>46163</v>
      </c>
      <c r="B172">
        <v>10</v>
      </c>
    </row>
    <row r="173" spans="1:2" x14ac:dyDescent="0.35">
      <c r="A173" s="21">
        <v>46164</v>
      </c>
      <c r="B173">
        <v>11</v>
      </c>
    </row>
    <row r="174" spans="1:2" x14ac:dyDescent="0.35">
      <c r="A174" s="21">
        <v>46165</v>
      </c>
      <c r="B174">
        <v>9</v>
      </c>
    </row>
    <row r="175" spans="1:2" x14ac:dyDescent="0.35">
      <c r="A175" s="21">
        <v>46166</v>
      </c>
      <c r="B175">
        <v>15</v>
      </c>
    </row>
    <row r="176" spans="1:2" x14ac:dyDescent="0.35">
      <c r="A176" s="21">
        <v>46167</v>
      </c>
      <c r="B176">
        <v>9</v>
      </c>
    </row>
    <row r="177" spans="1:2" x14ac:dyDescent="0.35">
      <c r="A177" s="21">
        <v>46168</v>
      </c>
      <c r="B177">
        <v>8</v>
      </c>
    </row>
    <row r="178" spans="1:2" x14ac:dyDescent="0.35">
      <c r="A178" s="21">
        <v>46169</v>
      </c>
      <c r="B178">
        <v>12</v>
      </c>
    </row>
    <row r="179" spans="1:2" x14ac:dyDescent="0.35">
      <c r="A179" s="21">
        <v>46170</v>
      </c>
      <c r="B179">
        <v>10</v>
      </c>
    </row>
    <row r="180" spans="1:2" x14ac:dyDescent="0.35">
      <c r="A180" s="21">
        <v>46171</v>
      </c>
      <c r="B180">
        <v>8</v>
      </c>
    </row>
    <row r="181" spans="1:2" x14ac:dyDescent="0.35">
      <c r="A181" s="21">
        <v>46172</v>
      </c>
      <c r="B181">
        <v>20</v>
      </c>
    </row>
    <row r="182" spans="1:2" x14ac:dyDescent="0.35">
      <c r="A182" s="21">
        <v>46173</v>
      </c>
      <c r="B182">
        <v>9</v>
      </c>
    </row>
    <row r="183" spans="1:2" x14ac:dyDescent="0.35">
      <c r="A183" s="21">
        <v>46174</v>
      </c>
      <c r="B183">
        <v>9</v>
      </c>
    </row>
    <row r="184" spans="1:2" x14ac:dyDescent="0.35">
      <c r="A184" s="21">
        <v>46175</v>
      </c>
      <c r="B184">
        <v>8</v>
      </c>
    </row>
    <row r="185" spans="1:2" x14ac:dyDescent="0.35">
      <c r="A185" s="21">
        <v>46176</v>
      </c>
      <c r="B185">
        <v>13</v>
      </c>
    </row>
    <row r="186" spans="1:2" x14ac:dyDescent="0.35">
      <c r="A186" s="21">
        <v>46177</v>
      </c>
      <c r="B186">
        <v>9</v>
      </c>
    </row>
    <row r="187" spans="1:2" x14ac:dyDescent="0.35">
      <c r="A187" s="21">
        <v>46178</v>
      </c>
      <c r="B187">
        <v>9</v>
      </c>
    </row>
    <row r="188" spans="1:2" x14ac:dyDescent="0.35">
      <c r="A188" s="21">
        <v>46179</v>
      </c>
      <c r="B188">
        <v>16</v>
      </c>
    </row>
    <row r="189" spans="1:2" x14ac:dyDescent="0.35">
      <c r="A189" s="21">
        <v>46180</v>
      </c>
      <c r="B189">
        <v>9</v>
      </c>
    </row>
    <row r="190" spans="1:2" x14ac:dyDescent="0.35">
      <c r="A190" s="21">
        <v>46181</v>
      </c>
      <c r="B190">
        <v>9</v>
      </c>
    </row>
    <row r="191" spans="1:2" x14ac:dyDescent="0.35">
      <c r="A191" s="21">
        <v>46182</v>
      </c>
      <c r="B191">
        <v>10</v>
      </c>
    </row>
    <row r="192" spans="1:2" x14ac:dyDescent="0.35">
      <c r="A192" s="21">
        <v>46183</v>
      </c>
      <c r="B192">
        <v>7</v>
      </c>
    </row>
    <row r="193" spans="1:2" x14ac:dyDescent="0.35">
      <c r="A193" s="21">
        <v>46184</v>
      </c>
      <c r="B193">
        <v>12</v>
      </c>
    </row>
    <row r="194" spans="1:2" x14ac:dyDescent="0.35">
      <c r="A194" s="21">
        <v>46185</v>
      </c>
      <c r="B194">
        <v>11</v>
      </c>
    </row>
    <row r="195" spans="1:2" x14ac:dyDescent="0.35">
      <c r="A195" s="21">
        <v>46186</v>
      </c>
      <c r="B195">
        <v>10</v>
      </c>
    </row>
    <row r="196" spans="1:2" x14ac:dyDescent="0.35">
      <c r="A196" s="21">
        <v>46187</v>
      </c>
      <c r="B196">
        <v>9</v>
      </c>
    </row>
    <row r="197" spans="1:2" x14ac:dyDescent="0.35">
      <c r="A197" s="21">
        <v>46188</v>
      </c>
      <c r="B197">
        <v>15</v>
      </c>
    </row>
    <row r="198" spans="1:2" x14ac:dyDescent="0.35">
      <c r="A198" s="21">
        <v>46189</v>
      </c>
      <c r="B198">
        <v>8</v>
      </c>
    </row>
    <row r="199" spans="1:2" x14ac:dyDescent="0.35">
      <c r="A199" s="21">
        <v>46190</v>
      </c>
      <c r="B199">
        <v>8</v>
      </c>
    </row>
    <row r="200" spans="1:2" x14ac:dyDescent="0.35">
      <c r="A200" s="21">
        <v>46191</v>
      </c>
      <c r="B200">
        <v>18</v>
      </c>
    </row>
    <row r="201" spans="1:2" x14ac:dyDescent="0.35">
      <c r="A201" s="21">
        <v>46192</v>
      </c>
      <c r="B201">
        <v>10</v>
      </c>
    </row>
    <row r="202" spans="1:2" x14ac:dyDescent="0.35">
      <c r="A202" s="21">
        <v>46193</v>
      </c>
      <c r="B202">
        <v>8</v>
      </c>
    </row>
    <row r="203" spans="1:2" x14ac:dyDescent="0.35">
      <c r="A203" s="21">
        <v>46194</v>
      </c>
      <c r="B203">
        <v>8</v>
      </c>
    </row>
    <row r="204" spans="1:2" x14ac:dyDescent="0.35">
      <c r="A204" s="21">
        <v>46195</v>
      </c>
      <c r="B204">
        <v>10</v>
      </c>
    </row>
    <row r="205" spans="1:2" x14ac:dyDescent="0.35">
      <c r="A205" s="21">
        <v>46196</v>
      </c>
      <c r="B205">
        <v>11</v>
      </c>
    </row>
    <row r="206" spans="1:2" x14ac:dyDescent="0.35">
      <c r="A206" s="21">
        <v>46197</v>
      </c>
      <c r="B206">
        <v>10</v>
      </c>
    </row>
    <row r="207" spans="1:2" x14ac:dyDescent="0.35">
      <c r="A207" s="21">
        <v>46198</v>
      </c>
      <c r="B207">
        <v>16</v>
      </c>
    </row>
    <row r="208" spans="1:2" x14ac:dyDescent="0.35">
      <c r="A208" s="21">
        <v>46199</v>
      </c>
      <c r="B208">
        <v>6</v>
      </c>
    </row>
    <row r="209" spans="1:2" x14ac:dyDescent="0.35">
      <c r="A209" s="21">
        <v>46200</v>
      </c>
      <c r="B209">
        <v>12</v>
      </c>
    </row>
    <row r="210" spans="1:2" x14ac:dyDescent="0.35">
      <c r="A210" s="21">
        <v>46201</v>
      </c>
      <c r="B210">
        <v>10</v>
      </c>
    </row>
    <row r="211" spans="1:2" x14ac:dyDescent="0.35">
      <c r="A211" s="21">
        <v>46202</v>
      </c>
      <c r="B211">
        <v>8</v>
      </c>
    </row>
    <row r="212" spans="1:2" x14ac:dyDescent="0.35">
      <c r="A212" s="21">
        <v>46203</v>
      </c>
      <c r="B212">
        <v>12</v>
      </c>
    </row>
    <row r="213" spans="1:2" x14ac:dyDescent="0.35">
      <c r="A213" s="21" t="s">
        <v>28</v>
      </c>
      <c r="B213">
        <v>1880</v>
      </c>
    </row>
  </sheetData>
  <mergeCells count="5">
    <mergeCell ref="A1:B1"/>
    <mergeCell ref="A17:B17"/>
    <mergeCell ref="F1:G1"/>
    <mergeCell ref="F17:G17"/>
    <mergeCell ref="A29:B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B4BF-4A8F-496F-A21B-AA689C1CE570}">
  <dimension ref="A1:X16"/>
  <sheetViews>
    <sheetView showGridLines="0" showRowColHeaders="0" tabSelected="1" zoomScale="81" zoomScaleNormal="81" workbookViewId="0">
      <selection activeCell="W16" sqref="W16"/>
    </sheetView>
  </sheetViews>
  <sheetFormatPr defaultRowHeight="14.5" x14ac:dyDescent="0.35"/>
  <cols>
    <col min="1" max="1" width="8.81640625" style="7" customWidth="1"/>
    <col min="2" max="2" width="15.90625" style="7" bestFit="1" customWidth="1"/>
    <col min="3" max="8" width="8.7265625" style="7"/>
    <col min="9" max="9" width="8.90625" style="7" customWidth="1"/>
    <col min="10" max="10" width="9.6328125" style="7" bestFit="1" customWidth="1"/>
    <col min="11" max="13" width="8.7265625" style="7"/>
    <col min="14" max="14" width="15.81640625" style="7" bestFit="1" customWidth="1"/>
    <col min="15" max="15" width="11.54296875" style="7" customWidth="1"/>
    <col min="16" max="17" width="8.7265625" style="7"/>
    <col min="18" max="18" width="12.36328125" style="7" bestFit="1" customWidth="1"/>
    <col min="19" max="19" width="13.54296875" style="7" bestFit="1" customWidth="1"/>
    <col min="20" max="21" width="8.7265625" style="7"/>
    <col min="22" max="22" width="15.08984375" style="7" bestFit="1" customWidth="1"/>
    <col min="23" max="23" width="13.54296875" style="7" bestFit="1" customWidth="1"/>
    <col min="24" max="16384" width="8.7265625" style="7"/>
  </cols>
  <sheetData>
    <row r="1" spans="1:24" s="5" customFormat="1" ht="28.5" x14ac:dyDescent="0.65">
      <c r="A1" s="22" t="s">
        <v>40</v>
      </c>
      <c r="B1" s="22"/>
      <c r="C1" s="22"/>
      <c r="D1" s="22"/>
      <c r="E1" s="22"/>
      <c r="F1" s="22"/>
      <c r="G1" s="22"/>
      <c r="H1" s="22"/>
      <c r="I1" s="22"/>
      <c r="J1" s="22"/>
      <c r="K1" s="22"/>
      <c r="L1" s="22"/>
      <c r="M1" s="22"/>
      <c r="N1" s="22"/>
      <c r="O1" s="22"/>
      <c r="P1" s="22"/>
      <c r="Q1" s="22"/>
      <c r="R1" s="22"/>
      <c r="S1" s="22"/>
      <c r="T1" s="22"/>
      <c r="U1" s="22"/>
      <c r="V1" s="22"/>
      <c r="W1" s="9"/>
    </row>
    <row r="2" spans="1:24" s="5" customFormat="1" ht="28.5" x14ac:dyDescent="0.65">
      <c r="A2" s="6"/>
      <c r="B2" s="6"/>
      <c r="C2" s="6"/>
      <c r="D2" s="6"/>
      <c r="E2" s="6"/>
      <c r="F2" s="6"/>
      <c r="G2" s="6"/>
      <c r="H2" s="6"/>
      <c r="I2" s="6"/>
      <c r="J2" s="6"/>
      <c r="K2" s="6"/>
      <c r="L2" s="6"/>
      <c r="M2" s="6"/>
      <c r="N2" s="6"/>
      <c r="O2" s="6"/>
      <c r="P2" s="6"/>
      <c r="Q2" s="6"/>
      <c r="R2" s="6"/>
      <c r="S2" s="6"/>
      <c r="T2" s="6"/>
      <c r="U2" s="6"/>
      <c r="V2" s="6"/>
      <c r="W2" s="6"/>
    </row>
    <row r="3" spans="1:24" s="8" customFormat="1" ht="9" customHeight="1" x14ac:dyDescent="0.35"/>
    <row r="4" spans="1:24" s="8" customFormat="1" x14ac:dyDescent="0.35">
      <c r="A4" s="24" t="s">
        <v>37</v>
      </c>
      <c r="B4" s="24"/>
      <c r="C4" s="24"/>
      <c r="E4" s="24" t="s">
        <v>52</v>
      </c>
      <c r="F4" s="24"/>
      <c r="G4" s="24"/>
      <c r="I4" s="24" t="s">
        <v>53</v>
      </c>
      <c r="J4" s="24"/>
      <c r="K4" s="24"/>
      <c r="M4" s="24" t="s">
        <v>38</v>
      </c>
      <c r="N4" s="24"/>
      <c r="O4" s="24"/>
      <c r="P4" s="12"/>
      <c r="Q4" s="24" t="s">
        <v>39</v>
      </c>
      <c r="R4" s="24"/>
      <c r="S4" s="24"/>
      <c r="U4" s="24" t="s">
        <v>42</v>
      </c>
      <c r="V4" s="24"/>
      <c r="W4" s="24"/>
    </row>
    <row r="5" spans="1:24" s="8" customFormat="1" ht="26" x14ac:dyDescent="0.6">
      <c r="A5" s="25">
        <f>GETPIVOTDATA("Revenue",Pivot_Tables!$A$3)</f>
        <v>7645</v>
      </c>
      <c r="B5" s="25"/>
      <c r="C5" s="25"/>
      <c r="E5" s="23">
        <f>GETPIVOTDATA("Quantity",Pivot_Tables!$A$31)</f>
        <v>1880</v>
      </c>
      <c r="F5" s="23"/>
      <c r="G5" s="23"/>
      <c r="I5" s="26">
        <f>A5/E5</f>
        <v>4.0664893617021276</v>
      </c>
      <c r="J5" s="26"/>
      <c r="K5" s="26"/>
      <c r="M5" s="23" t="str" cm="1">
        <f t="array" ref="M5">_xlfn.LET(                                                                                                                                                                                                      _xlpm.names, _xlfn._xlws.FILTER(Pivot_Tables!F4:F13, (Pivot_Tables!F4:F13&lt;&gt;"Grand Total")*(Pivot_Tables!F4:F13&lt;&gt;"")),
_xlpm.values, _xlfn._xlws.FILTER(Pivot_Tables!G4:G13, (Pivot_Tables!F4:F13&lt;&gt;"Grand Total")*(Pivot_Tables!F4:F13&lt;&gt;"")),
 _xlfn.XLOOKUP(MAX(_xlpm.values), _xlpm.values, _xlpm.names)                                                            )</f>
        <v>Sandwich</v>
      </c>
      <c r="N5" s="23"/>
      <c r="O5" s="23"/>
      <c r="Q5" s="23" t="str" cm="1">
        <f t="array" ref="Q5">_xlfn.LET(_xlpm.months, _xlfn._xlws.FILTER(Pivot_Tables!A4:A9,(Pivot_Tables!A4:A9&lt;&gt;"Grand Total")*(Pivot_Tables!A4:A9&lt;&gt;"")),
_xlpm.values, _xlfn._xlws.FILTER(Pivot_Tables!B4:B9,(Pivot_Tables!A4:A9&lt;&gt;"Grand Total")*(Pivot_Tables!A4:A9&lt;&gt;"")),
_xlfn.XLOOKUP(MAX(_xlpm.values),_xlpm.values, _xlpm.months)
)</f>
        <v>May</v>
      </c>
      <c r="R5" s="23"/>
      <c r="S5" s="23"/>
      <c r="U5" s="23" t="str" cm="1">
        <f t="array" ref="U5">_xlfn.LET(_xlpm.cats,_xlfn._xlws.FILTER(Pivot_Tables!A20:A22,(Pivot_Tables!A20:A22&lt;&gt;"Grand Total")*(Pivot_Tables!A20:A22&lt;&gt;"")),
_xlpm.values,_xlfn._xlws.FILTER(Pivot_Tables!B20:B22,(Pivot_Tables!A20:A22&lt;&gt;"Grand Total")*(Pivot_Tables!A20:A22&lt;&gt;"")),
_xlfn.XLOOKUP(MAX(_xlpm.values),_xlpm.values,_xlpm.cats)
)</f>
        <v>Beverage</v>
      </c>
      <c r="V5" s="23"/>
      <c r="W5" s="23"/>
    </row>
    <row r="6" spans="1:24" s="8" customFormat="1" ht="26" x14ac:dyDescent="0.6">
      <c r="B6" s="10"/>
      <c r="E6" s="11"/>
      <c r="F6" s="11"/>
      <c r="J6" s="10"/>
      <c r="M6" s="31">
        <f>GETPIVOTDATA("Revenue",Pivot_Tables!$F$3,"Product",M5)</f>
        <v>1111.5</v>
      </c>
      <c r="N6" s="31"/>
      <c r="O6" s="31"/>
      <c r="Q6" s="25" cm="1">
        <f t="array" ref="Q6">MAX(_xlfn._xlws.FILTER(Pivot_Tables!B4:B9,Pivot_Tables!A4:A9&lt;&gt;"Grand Total"))</f>
        <v>1342.75</v>
      </c>
      <c r="R6" s="25"/>
      <c r="S6" s="25"/>
      <c r="U6" s="32" cm="1">
        <f t="array" ref="U6">MAX(_xlfn._xlws.FILTER(Pivot_Tables!B20:B22,Pivot_Tables!A20:A22&lt;&gt;"Grand Total"))/A5</f>
        <v>0.56893394375408768</v>
      </c>
      <c r="V6" s="32"/>
      <c r="W6" s="32"/>
    </row>
    <row r="7" spans="1:24" s="8" customFormat="1" ht="8.5" customHeight="1" x14ac:dyDescent="0.35"/>
    <row r="9" spans="1:24" ht="17" customHeight="1" x14ac:dyDescent="0.4">
      <c r="T9" s="33" t="s">
        <v>41</v>
      </c>
      <c r="U9" s="34"/>
      <c r="V9" s="34"/>
      <c r="W9" s="35"/>
    </row>
    <row r="10" spans="1:24" ht="8.5" customHeight="1" x14ac:dyDescent="0.35">
      <c r="T10" s="14"/>
      <c r="U10" s="13"/>
      <c r="V10" s="13"/>
      <c r="W10" s="18"/>
    </row>
    <row r="11" spans="1:24" ht="50" customHeight="1" x14ac:dyDescent="0.35">
      <c r="T11" s="27" t="s">
        <v>55</v>
      </c>
      <c r="U11" s="28"/>
      <c r="V11" s="28"/>
      <c r="W11" s="30"/>
    </row>
    <row r="12" spans="1:24" ht="50" customHeight="1" x14ac:dyDescent="0.35">
      <c r="T12" s="27" t="s">
        <v>43</v>
      </c>
      <c r="U12" s="28"/>
      <c r="V12" s="28"/>
      <c r="W12" s="30"/>
    </row>
    <row r="13" spans="1:24" ht="50" customHeight="1" x14ac:dyDescent="0.35">
      <c r="T13" s="27" t="s">
        <v>44</v>
      </c>
      <c r="U13" s="28"/>
      <c r="V13" s="28"/>
      <c r="W13" s="28"/>
      <c r="X13" s="17"/>
    </row>
    <row r="14" spans="1:24" ht="24.5" customHeight="1" x14ac:dyDescent="0.35">
      <c r="T14" s="14"/>
      <c r="U14" s="13"/>
      <c r="V14" s="13"/>
      <c r="W14" s="13"/>
      <c r="X14" s="17"/>
    </row>
    <row r="15" spans="1:24" ht="50" customHeight="1" x14ac:dyDescent="0.35">
      <c r="S15" s="15"/>
      <c r="T15" s="29" t="s">
        <v>45</v>
      </c>
      <c r="U15" s="28"/>
      <c r="V15" s="28"/>
      <c r="W15" s="28"/>
      <c r="X15" s="17"/>
    </row>
    <row r="16" spans="1:24" x14ac:dyDescent="0.35">
      <c r="T16" s="16"/>
      <c r="U16" s="16"/>
      <c r="V16" s="16"/>
      <c r="W16" s="16"/>
    </row>
  </sheetData>
  <mergeCells count="21">
    <mergeCell ref="T13:W13"/>
    <mergeCell ref="T15:W15"/>
    <mergeCell ref="T12:W12"/>
    <mergeCell ref="M6:O6"/>
    <mergeCell ref="Q6:S6"/>
    <mergeCell ref="U6:W6"/>
    <mergeCell ref="T9:W9"/>
    <mergeCell ref="T11:W11"/>
    <mergeCell ref="A1:V1"/>
    <mergeCell ref="Q5:S5"/>
    <mergeCell ref="U5:W5"/>
    <mergeCell ref="M5:O5"/>
    <mergeCell ref="M4:O4"/>
    <mergeCell ref="A5:C5"/>
    <mergeCell ref="A4:C4"/>
    <mergeCell ref="E5:G5"/>
    <mergeCell ref="I5:K5"/>
    <mergeCell ref="E4:G4"/>
    <mergeCell ref="I4:K4"/>
    <mergeCell ref="Q4:S4"/>
    <mergeCell ref="U4:W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AACF87061E514890B5B80E0B387D6A" ma:contentTypeVersion="10" ma:contentTypeDescription="Create a new document." ma:contentTypeScope="" ma:versionID="71141ebc1973745187e0bc92b709ec4f">
  <xsd:schema xmlns:xsd="http://www.w3.org/2001/XMLSchema" xmlns:xs="http://www.w3.org/2001/XMLSchema" xmlns:p="http://schemas.microsoft.com/office/2006/metadata/properties" xmlns:ns3="5c7ee5c8-8c4a-4d99-8118-3a89e915f526" targetNamespace="http://schemas.microsoft.com/office/2006/metadata/properties" ma:root="true" ma:fieldsID="ef081cfcbc34dd23ffa616a03a4763fd" ns3:_="">
    <xsd:import namespace="5c7ee5c8-8c4a-4d99-8118-3a89e915f52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7ee5c8-8c4a-4d99-8118-3a89e915f52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c7ee5c8-8c4a-4d99-8118-3a89e915f526" xsi:nil="true"/>
  </documentManagement>
</p:properties>
</file>

<file path=customXml/itemProps1.xml><?xml version="1.0" encoding="utf-8"?>
<ds:datastoreItem xmlns:ds="http://schemas.openxmlformats.org/officeDocument/2006/customXml" ds:itemID="{2E37A7D4-823B-4EE8-A888-0345654775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7ee5c8-8c4a-4d99-8118-3a89e915f5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728262-BD33-4471-9975-EEAF4D784F78}">
  <ds:schemaRefs>
    <ds:schemaRef ds:uri="http://schemas.microsoft.com/sharepoint/v3/contenttype/forms"/>
  </ds:schemaRefs>
</ds:datastoreItem>
</file>

<file path=customXml/itemProps3.xml><?xml version="1.0" encoding="utf-8"?>
<ds:datastoreItem xmlns:ds="http://schemas.openxmlformats.org/officeDocument/2006/customXml" ds:itemID="{CD5A1D35-567F-4536-B339-C66DE7B76739}">
  <ds:schemaRefs>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www.w3.org/XML/1998/namespace"/>
    <ds:schemaRef ds:uri="http://schemas.openxmlformats.org/package/2006/metadata/core-properties"/>
    <ds:schemaRef ds:uri="5c7ee5c8-8c4a-4d99-8118-3a89e915f526"/>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Lungumbu</dc:creator>
  <cp:lastModifiedBy>Edgar Lungumbu</cp:lastModifiedBy>
  <dcterms:created xsi:type="dcterms:W3CDTF">2026-06-09T19:59:02Z</dcterms:created>
  <dcterms:modified xsi:type="dcterms:W3CDTF">2026-06-28T23:56:36Z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0x010100D2AACF87061E514890B5B80E0B387D6A</vt:lpwstr>
  </property>
</Properties>
</file>